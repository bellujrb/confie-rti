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657A6CF4-780A-29F0-665F-34B82A1D2417}"/>
  <workbookPr codeName="ThisWorkbook" defaultThemeVersion="166925"/>
  <mc:AlternateContent xmlns:mc="http://schemas.openxmlformats.org/markup-compatibility/2006">
    <mc:Choice Requires="x15">
      <x15ac:absPath xmlns:x15ac="http://schemas.microsoft.com/office/spreadsheetml/2010/11/ac" url="https://everisgroup-my.sharepoint.com/personal/anunesfa_emeal_nttdata_com/Documents/Arquivos de Chat do Microsoft Teams/"/>
    </mc:Choice>
  </mc:AlternateContent>
  <xr:revisionPtr revIDLastSave="10" documentId="8_{13F569EF-ABA5-460C-A430-3A64DC31D9B3}" xr6:coauthVersionLast="47" xr6:coauthVersionMax="47" xr10:uidLastSave="{2715342D-6D9D-FD4F-8DA3-E9E0D7170516}"/>
  <bookViews>
    <workbookView xWindow="22932" yWindow="-108" windowWidth="30936" windowHeight="16896" tabRatio="742" firstSheet="2" activeTab="13" xr2:uid="{00000000-000D-0000-FFFF-FFFF00000000}"/>
  </bookViews>
  <sheets>
    <sheet name="Title" sheetId="156" r:id="rId1"/>
    <sheet name="Warning" sheetId="157" r:id="rId2"/>
    <sheet name="Introduction" sheetId="372" r:id="rId3"/>
    <sheet name="Scope" sheetId="164" r:id="rId4"/>
    <sheet name="Collect" sheetId="167" r:id="rId5"/>
    <sheet name="Calculate" sheetId="165" r:id="rId6"/>
    <sheet name="Simulate" sheetId="5" r:id="rId7"/>
    <sheet name="Sim_Static" sheetId="6" state="hidden" r:id="rId8"/>
    <sheet name="Communicate_Data" sheetId="530" state="hidden" r:id="rId9"/>
    <sheet name="Communicate" sheetId="430" r:id="rId10"/>
    <sheet name="Treatment (Collection)" sheetId="161" r:id="rId11"/>
    <sheet name="Treatment (Summary)" sheetId="162" r:id="rId12"/>
    <sheet name="Treatment_Data" sheetId="533" state="hidden" r:id="rId13"/>
    <sheet name="Treatment (Results)" sheetId="340" r:id="rId14"/>
    <sheet name="Function List" sheetId="393" r:id="rId15"/>
  </sheets>
  <externalReferences>
    <externalReference r:id="rId16"/>
  </externalReferences>
  <definedNames>
    <definedName name="_xlnm._FilterDatabase" localSheetId="4" hidden="1">Collect!$B$96:$E$112</definedName>
    <definedName name="_xlnm._FilterDatabase" localSheetId="9" hidden="1">Communicate!$G$62:$I$62</definedName>
    <definedName name="a">Warning!$C$2</definedName>
    <definedName name="aq">Warning!$C$2</definedName>
    <definedName name="UserFields" localSheetId="9">[1]Simulate!$I$10,[1]Simulate!$G$10:$I$10,[1]Simulate!$B$16:$D$16,[1]Simulate!$B$21:$D$21,[1]Simulate!$B$26:$D$26,[1]Simulate!$B$32:$F$41,[1]Simulate!$H$32:$H$41,[1]Simulate!$B$47:$E$56,[1]Simulate!$C$61:$E$70,'[1]Treatment (Summary)'!$B$19:$E$28,'[1]Treatment (Summary)'!$C$34:$E$43</definedName>
    <definedName name="UserFields">Simulate!$I$10,Simulate!$G$10:$I$10,Simulate!$B$16:$D$16,Simulate!$B$21:$D$21,Simulate!$B$26:$D$26,Simulate!$B$32:$F$41,Simulate!$H$32:$H$41,Simulate!$B$47:$E$56,Simulate!$C$61:$E$70,'Treatment (Summary)'!$B$19:$E$28,'Treatment (Summary)'!$C$34:$E$43</definedName>
    <definedName name="UserFieldsSimple" localSheetId="9">#REF!,#REF!,#REF!,#REF!</definedName>
    <definedName name="UserFieldsSimple" localSheetId="14">#REF!,#REF!,#REF!,#REF!</definedName>
    <definedName name="UserFieldsSimple" localSheetId="2">#REF!,#REF!,#REF!,#REF!</definedName>
    <definedName name="UserFieldsSimple" localSheetId="13">#REF!,#REF!,#REF!,#REF!</definedName>
    <definedName name="UserFieldsSimple">#REF!,#REF!,#REF!,#REF!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8" i="162" l="1"/>
  <c r="B55" i="162"/>
  <c r="B54" i="162"/>
  <c r="B51" i="162"/>
  <c r="B50" i="162"/>
  <c r="E43" i="162"/>
  <c r="E42" i="162"/>
  <c r="E41" i="162"/>
  <c r="E40" i="162"/>
  <c r="E39" i="162"/>
  <c r="E38" i="162"/>
  <c r="E37" i="162"/>
  <c r="E36" i="162"/>
  <c r="E35" i="162"/>
  <c r="E34" i="162"/>
  <c r="D43" i="162"/>
  <c r="F43" i="162" s="1"/>
  <c r="D42" i="162"/>
  <c r="F42" i="162" s="1"/>
  <c r="D41" i="162"/>
  <c r="F41" i="162" s="1"/>
  <c r="D40" i="162"/>
  <c r="F40" i="162" s="1"/>
  <c r="D39" i="162"/>
  <c r="F39" i="162" s="1"/>
  <c r="D38" i="162"/>
  <c r="F38" i="162" s="1"/>
  <c r="D37" i="162"/>
  <c r="F37" i="162" s="1"/>
  <c r="D36" i="162"/>
  <c r="F36" i="162" s="1"/>
  <c r="D35" i="162"/>
  <c r="F35" i="162" s="1"/>
  <c r="D34" i="162"/>
  <c r="F34" i="162" s="1"/>
  <c r="C43" i="162"/>
  <c r="C42" i="162"/>
  <c r="C41" i="162"/>
  <c r="C40" i="162"/>
  <c r="C39" i="162"/>
  <c r="C38" i="162"/>
  <c r="C37" i="162"/>
  <c r="C36" i="162"/>
  <c r="C35" i="162"/>
  <c r="C34" i="162"/>
  <c r="B43" i="162"/>
  <c r="B42" i="162"/>
  <c r="B39" i="162"/>
  <c r="B38" i="162"/>
  <c r="B35" i="162"/>
  <c r="B34" i="162"/>
  <c r="E28" i="162"/>
  <c r="E27" i="162"/>
  <c r="E26" i="162"/>
  <c r="E25" i="162"/>
  <c r="E24" i="162"/>
  <c r="E23" i="162"/>
  <c r="E22" i="162"/>
  <c r="E21" i="162"/>
  <c r="E20" i="162"/>
  <c r="E19" i="162"/>
  <c r="D28" i="162"/>
  <c r="F28" i="162" s="1"/>
  <c r="D27" i="162"/>
  <c r="F27" i="162" s="1"/>
  <c r="D26" i="162"/>
  <c r="F26" i="162" s="1"/>
  <c r="D25" i="162"/>
  <c r="F25" i="162" s="1"/>
  <c r="D24" i="162"/>
  <c r="F24" i="162" s="1"/>
  <c r="D23" i="162"/>
  <c r="F23" i="162" s="1"/>
  <c r="D22" i="162"/>
  <c r="F22" i="162" s="1"/>
  <c r="D21" i="162"/>
  <c r="F21" i="162" s="1"/>
  <c r="D20" i="162"/>
  <c r="F20" i="162" s="1"/>
  <c r="D19" i="162"/>
  <c r="F19" i="162" s="1"/>
  <c r="C28" i="162"/>
  <c r="C27" i="162"/>
  <c r="C26" i="162"/>
  <c r="C25" i="162"/>
  <c r="C24" i="162"/>
  <c r="C23" i="162"/>
  <c r="C22" i="162"/>
  <c r="C21" i="162"/>
  <c r="C20" i="162"/>
  <c r="C19" i="162"/>
  <c r="B28" i="162"/>
  <c r="B27" i="162"/>
  <c r="B57" i="162" s="1"/>
  <c r="B26" i="162"/>
  <c r="B41" i="162" s="1"/>
  <c r="B25" i="162"/>
  <c r="B40" i="162" s="1"/>
  <c r="B24" i="162"/>
  <c r="B23" i="162"/>
  <c r="B53" i="162" s="1"/>
  <c r="B22" i="162"/>
  <c r="B37" i="162" s="1"/>
  <c r="B21" i="162"/>
  <c r="B36" i="162" s="1"/>
  <c r="B20" i="162"/>
  <c r="B19" i="162"/>
  <c r="B49" i="162" s="1"/>
  <c r="I67" i="430"/>
  <c r="I66" i="430"/>
  <c r="I65" i="430"/>
  <c r="I64" i="430"/>
  <c r="I63" i="430"/>
  <c r="G70" i="5"/>
  <c r="G69" i="5"/>
  <c r="G68" i="5"/>
  <c r="G67" i="5"/>
  <c r="G66" i="5"/>
  <c r="G65" i="5"/>
  <c r="G64" i="5"/>
  <c r="F70" i="5"/>
  <c r="F69" i="5"/>
  <c r="F68" i="5"/>
  <c r="F67" i="5"/>
  <c r="F66" i="5"/>
  <c r="F65" i="5"/>
  <c r="F64" i="5"/>
  <c r="B70" i="5"/>
  <c r="B69" i="5"/>
  <c r="B68" i="5"/>
  <c r="B67" i="5"/>
  <c r="B66" i="5"/>
  <c r="B65" i="5"/>
  <c r="B64" i="5"/>
  <c r="F62" i="5"/>
  <c r="E63" i="5"/>
  <c r="E62" i="5"/>
  <c r="E61" i="5"/>
  <c r="D63" i="5"/>
  <c r="D62" i="5"/>
  <c r="D61" i="5"/>
  <c r="F61" i="5" s="1"/>
  <c r="C63" i="5"/>
  <c r="F63" i="5" s="1"/>
  <c r="C62" i="5"/>
  <c r="G62" i="5" s="1"/>
  <c r="C61" i="5"/>
  <c r="G61" i="5" s="1"/>
  <c r="F48" i="5"/>
  <c r="E49" i="5"/>
  <c r="E48" i="5"/>
  <c r="E47" i="5"/>
  <c r="D49" i="5"/>
  <c r="D48" i="5"/>
  <c r="D47" i="5"/>
  <c r="F47" i="5" s="1"/>
  <c r="C49" i="5"/>
  <c r="F49" i="5" s="1"/>
  <c r="C48" i="5"/>
  <c r="C47" i="5"/>
  <c r="F34" i="5"/>
  <c r="F33" i="5"/>
  <c r="F32" i="5"/>
  <c r="E34" i="5"/>
  <c r="E33" i="5"/>
  <c r="E32" i="5"/>
  <c r="D34" i="5"/>
  <c r="D33" i="5"/>
  <c r="D32" i="5"/>
  <c r="D21" i="5"/>
  <c r="C21" i="5"/>
  <c r="B21" i="5"/>
  <c r="D16" i="5"/>
  <c r="C16" i="5"/>
  <c r="B16" i="5"/>
  <c r="D9" i="5"/>
  <c r="C9" i="5"/>
  <c r="B9" i="5"/>
  <c r="F29" i="162" l="1"/>
  <c r="F44" i="162"/>
  <c r="B52" i="162"/>
  <c r="B56" i="162"/>
  <c r="G63" i="5"/>
  <c r="G71" i="5" s="1"/>
  <c r="I44" i="430"/>
  <c r="H9" i="430" l="1"/>
  <c r="K44" i="430"/>
  <c r="H44" i="430"/>
  <c r="G44" i="430"/>
  <c r="AQ1" i="430" l="1"/>
  <c r="GO5" i="6" l="1"/>
  <c r="GH5" i="6"/>
  <c r="FV5" i="6"/>
  <c r="FB5" i="6"/>
  <c r="FF5" i="6"/>
  <c r="W18" i="5"/>
  <c r="G32" i="5"/>
  <c r="G33" i="5"/>
  <c r="W5" i="6" s="1"/>
  <c r="Y5" i="6"/>
  <c r="GL5" i="6"/>
  <c r="GD5" i="6"/>
  <c r="FZ5" i="6"/>
  <c r="FR5" i="6"/>
  <c r="FN5" i="6"/>
  <c r="FJ5" i="6"/>
  <c r="G5" i="6"/>
  <c r="CQ5" i="6"/>
  <c r="CM5" i="6"/>
  <c r="CI5" i="6"/>
  <c r="CE5" i="6"/>
  <c r="CA5" i="6"/>
  <c r="BW5" i="6"/>
  <c r="BS5" i="6"/>
  <c r="B18" i="5"/>
  <c r="B13" i="5"/>
  <c r="D9" i="340"/>
  <c r="D9" i="162"/>
  <c r="BO5" i="6"/>
  <c r="BK5" i="6"/>
  <c r="U25" i="164"/>
  <c r="C84" i="165"/>
  <c r="C75" i="165"/>
  <c r="C52" i="165"/>
  <c r="C43" i="165"/>
  <c r="C20" i="165"/>
  <c r="C11" i="167"/>
  <c r="S6" i="164"/>
  <c r="BG5" i="6"/>
  <c r="Q9" i="393"/>
  <c r="Q10" i="393"/>
  <c r="U33" i="393"/>
  <c r="S33" i="393"/>
  <c r="Q33" i="393"/>
  <c r="U32" i="393"/>
  <c r="S32" i="393"/>
  <c r="Q32" i="393"/>
  <c r="U31" i="393"/>
  <c r="S31" i="393"/>
  <c r="Q31" i="393"/>
  <c r="U30" i="393"/>
  <c r="S30" i="393"/>
  <c r="Q30" i="393"/>
  <c r="U29" i="393"/>
  <c r="S29" i="393"/>
  <c r="Q29" i="393"/>
  <c r="U28" i="393"/>
  <c r="S28" i="393"/>
  <c r="Q28" i="393"/>
  <c r="U27" i="393"/>
  <c r="S27" i="393"/>
  <c r="Q27" i="393"/>
  <c r="U26" i="393"/>
  <c r="S26" i="393"/>
  <c r="Q26" i="393"/>
  <c r="U25" i="393"/>
  <c r="S25" i="393"/>
  <c r="Q25" i="393"/>
  <c r="U24" i="393"/>
  <c r="S24" i="393"/>
  <c r="Q24" i="393"/>
  <c r="U23" i="393"/>
  <c r="S23" i="393"/>
  <c r="Q23" i="393"/>
  <c r="U22" i="393"/>
  <c r="S22" i="393"/>
  <c r="Q22" i="393"/>
  <c r="U21" i="393"/>
  <c r="S21" i="393"/>
  <c r="Q21" i="393"/>
  <c r="U20" i="393"/>
  <c r="S20" i="393"/>
  <c r="Q20" i="393"/>
  <c r="U19" i="393"/>
  <c r="S19" i="393"/>
  <c r="Q19" i="393"/>
  <c r="S18" i="393"/>
  <c r="Q18" i="393"/>
  <c r="W17" i="393"/>
  <c r="S17" i="393"/>
  <c r="Q17" i="393"/>
  <c r="W16" i="393"/>
  <c r="S16" i="393"/>
  <c r="Q16" i="393"/>
  <c r="W15" i="393"/>
  <c r="U15" i="393"/>
  <c r="S15" i="393"/>
  <c r="Q15" i="393"/>
  <c r="W14" i="393"/>
  <c r="U14" i="393"/>
  <c r="S14" i="393"/>
  <c r="Q14" i="393"/>
  <c r="W13" i="393"/>
  <c r="U13" i="393"/>
  <c r="S13" i="393"/>
  <c r="Q13" i="393"/>
  <c r="W12" i="393"/>
  <c r="U12" i="393"/>
  <c r="S12" i="393"/>
  <c r="Q12" i="393"/>
  <c r="W11" i="393"/>
  <c r="U11" i="393"/>
  <c r="S11" i="393"/>
  <c r="Q11" i="393"/>
  <c r="W10" i="393"/>
  <c r="U10" i="393"/>
  <c r="S10" i="393"/>
  <c r="W9" i="393"/>
  <c r="U9" i="393"/>
  <c r="S9" i="393"/>
  <c r="W8" i="393"/>
  <c r="U8" i="393"/>
  <c r="S8" i="393"/>
  <c r="Q8" i="393"/>
  <c r="W7" i="393"/>
  <c r="U7" i="393"/>
  <c r="S7" i="393"/>
  <c r="Q7" i="393"/>
  <c r="X6" i="393"/>
  <c r="W6" i="393"/>
  <c r="U6" i="393"/>
  <c r="S6" i="393"/>
  <c r="Q6" i="393"/>
  <c r="C9" i="340"/>
  <c r="B9" i="340"/>
  <c r="AQ1" i="340"/>
  <c r="B9" i="162"/>
  <c r="W11" i="164"/>
  <c r="W7" i="164"/>
  <c r="W8" i="164"/>
  <c r="W9" i="164"/>
  <c r="W12" i="164"/>
  <c r="W10" i="164"/>
  <c r="Z6" i="164"/>
  <c r="U7" i="164"/>
  <c r="U8" i="164"/>
  <c r="U9" i="164"/>
  <c r="U10" i="164"/>
  <c r="C19" i="165" s="1"/>
  <c r="U11" i="164"/>
  <c r="U12" i="164"/>
  <c r="U13" i="164"/>
  <c r="U14" i="164"/>
  <c r="U15" i="164"/>
  <c r="U16" i="164"/>
  <c r="U17" i="164"/>
  <c r="U18" i="164"/>
  <c r="U19" i="164"/>
  <c r="U20" i="164"/>
  <c r="U21" i="164"/>
  <c r="U22" i="164"/>
  <c r="U23" i="164"/>
  <c r="U24" i="164"/>
  <c r="C92" i="165"/>
  <c r="U26" i="164"/>
  <c r="U27" i="164"/>
  <c r="U28" i="164"/>
  <c r="U29" i="164"/>
  <c r="U30" i="164"/>
  <c r="U31" i="164"/>
  <c r="U32" i="164"/>
  <c r="U33" i="164"/>
  <c r="U36" i="164"/>
  <c r="U37" i="164"/>
  <c r="U38" i="164"/>
  <c r="U39" i="164"/>
  <c r="U40" i="164"/>
  <c r="U41" i="164"/>
  <c r="U42" i="164"/>
  <c r="U43" i="164"/>
  <c r="U44" i="164"/>
  <c r="U45" i="164"/>
  <c r="U46" i="164"/>
  <c r="U47" i="164"/>
  <c r="U48" i="164"/>
  <c r="U49" i="164"/>
  <c r="U50" i="164"/>
  <c r="U51" i="164"/>
  <c r="U52" i="164"/>
  <c r="U53" i="164"/>
  <c r="U54" i="164"/>
  <c r="U55" i="164"/>
  <c r="S36" i="164"/>
  <c r="S37" i="164"/>
  <c r="S38" i="164"/>
  <c r="S39" i="164"/>
  <c r="S40" i="164"/>
  <c r="S41" i="164"/>
  <c r="S42" i="164"/>
  <c r="S43" i="164"/>
  <c r="S44" i="164"/>
  <c r="S45" i="164"/>
  <c r="S46" i="164"/>
  <c r="S47" i="164"/>
  <c r="S48" i="164"/>
  <c r="S49" i="164"/>
  <c r="S50" i="164"/>
  <c r="S51" i="164"/>
  <c r="S52" i="164"/>
  <c r="S53" i="164"/>
  <c r="Y7" i="164"/>
  <c r="Y8" i="164"/>
  <c r="Y9" i="164"/>
  <c r="Y10" i="164"/>
  <c r="Y11" i="164"/>
  <c r="Y12" i="164"/>
  <c r="Y13" i="164"/>
  <c r="Y14" i="164"/>
  <c r="Y15" i="164"/>
  <c r="Y16" i="164"/>
  <c r="Y17" i="164"/>
  <c r="Y6" i="164"/>
  <c r="W14" i="164"/>
  <c r="W15" i="164"/>
  <c r="W13" i="164"/>
  <c r="W19" i="164"/>
  <c r="W20" i="164"/>
  <c r="W21" i="164"/>
  <c r="W22" i="164"/>
  <c r="W23" i="164"/>
  <c r="W24" i="164"/>
  <c r="W25" i="164"/>
  <c r="W26" i="164"/>
  <c r="W27" i="164"/>
  <c r="W28" i="164"/>
  <c r="W29" i="164"/>
  <c r="W30" i="164"/>
  <c r="W31" i="164"/>
  <c r="W32" i="164"/>
  <c r="W33" i="164"/>
  <c r="W36" i="164"/>
  <c r="W37" i="164"/>
  <c r="W38" i="164"/>
  <c r="W39" i="164"/>
  <c r="W40" i="164"/>
  <c r="W41" i="164"/>
  <c r="W42" i="164"/>
  <c r="W43" i="164"/>
  <c r="W44" i="164"/>
  <c r="W45" i="164"/>
  <c r="W46" i="164"/>
  <c r="W47" i="164"/>
  <c r="W48" i="164"/>
  <c r="W49" i="164"/>
  <c r="W50" i="164"/>
  <c r="W51" i="164"/>
  <c r="W52" i="164"/>
  <c r="W53" i="164"/>
  <c r="W54" i="164"/>
  <c r="W55" i="164"/>
  <c r="W6" i="164"/>
  <c r="U6" i="164"/>
  <c r="S7" i="164"/>
  <c r="S8" i="164"/>
  <c r="S9" i="164"/>
  <c r="S10" i="164"/>
  <c r="S11" i="164"/>
  <c r="S12" i="164"/>
  <c r="S13" i="164"/>
  <c r="S14" i="164"/>
  <c r="S15" i="164"/>
  <c r="S16" i="164"/>
  <c r="S17" i="164"/>
  <c r="S18" i="164"/>
  <c r="S19" i="164"/>
  <c r="S20" i="164"/>
  <c r="S21" i="164"/>
  <c r="S22" i="164"/>
  <c r="S23" i="164"/>
  <c r="S24" i="164"/>
  <c r="S25" i="164"/>
  <c r="S26" i="164"/>
  <c r="S27" i="164"/>
  <c r="S28" i="164"/>
  <c r="S29" i="164"/>
  <c r="S30" i="164"/>
  <c r="S31" i="164"/>
  <c r="S32" i="164"/>
  <c r="S33" i="164"/>
  <c r="S34" i="164"/>
  <c r="S35" i="164"/>
  <c r="C9" i="162"/>
  <c r="B12" i="162"/>
  <c r="B12" i="340" s="1"/>
  <c r="L5" i="6"/>
  <c r="K5" i="6"/>
  <c r="J5" i="6"/>
  <c r="I5" i="6"/>
  <c r="B23" i="5"/>
  <c r="A5" i="6"/>
  <c r="H5" i="6"/>
  <c r="F5" i="6"/>
  <c r="E5" i="6"/>
  <c r="F50" i="5"/>
  <c r="BQ5" i="6" s="1"/>
  <c r="F51" i="5"/>
  <c r="BV5" i="6" s="1"/>
  <c r="F52" i="5"/>
  <c r="CB5" i="6"/>
  <c r="F53" i="5"/>
  <c r="CF5" i="6" s="1"/>
  <c r="F54" i="5"/>
  <c r="CJ5" i="6" s="1"/>
  <c r="F55" i="5"/>
  <c r="CN5" i="6" s="1"/>
  <c r="F56" i="5"/>
  <c r="CP5" i="6" s="1"/>
  <c r="G35" i="5"/>
  <c r="AD5" i="6" s="1"/>
  <c r="G36" i="5"/>
  <c r="AH5" i="6" s="1"/>
  <c r="G37" i="5"/>
  <c r="AM5" i="6" s="1"/>
  <c r="G38" i="5"/>
  <c r="AP5" i="6" s="1"/>
  <c r="G39" i="5"/>
  <c r="AT5" i="6" s="1"/>
  <c r="G40" i="5"/>
  <c r="AY5" i="6" s="1"/>
  <c r="G41" i="5"/>
  <c r="BB5" i="6" s="1"/>
  <c r="BA5" i="6"/>
  <c r="AW5" i="6"/>
  <c r="AS5" i="6"/>
  <c r="AO5" i="6"/>
  <c r="AK5" i="6"/>
  <c r="AG5" i="6"/>
  <c r="AC5" i="6"/>
  <c r="W23" i="5"/>
  <c r="FA5" i="6"/>
  <c r="FC5" i="6"/>
  <c r="EZ5" i="6"/>
  <c r="GA5" i="6"/>
  <c r="FY5" i="6"/>
  <c r="FX5" i="6"/>
  <c r="GI5" i="6"/>
  <c r="GG5" i="6"/>
  <c r="GF5" i="6"/>
  <c r="FQ5" i="6"/>
  <c r="FS5" i="6"/>
  <c r="FP5" i="6"/>
  <c r="HJ5" i="6"/>
  <c r="HI5" i="6"/>
  <c r="HK5" i="6"/>
  <c r="HH5" i="6"/>
  <c r="HZ5" i="6"/>
  <c r="IA5" i="6"/>
  <c r="HX5" i="6"/>
  <c r="HY5" i="6"/>
  <c r="HB5" i="6"/>
  <c r="HA5" i="6"/>
  <c r="HC5" i="6"/>
  <c r="GZ5" i="6"/>
  <c r="GC5" i="6"/>
  <c r="GE5" i="6"/>
  <c r="GB5" i="6"/>
  <c r="FM5" i="6"/>
  <c r="FO5" i="6"/>
  <c r="FL5" i="6"/>
  <c r="HN5" i="6"/>
  <c r="HO5" i="6"/>
  <c r="HM5" i="6"/>
  <c r="HL5" i="6"/>
  <c r="HR5" i="6"/>
  <c r="HQ5" i="6"/>
  <c r="HS5" i="6"/>
  <c r="HP5" i="6"/>
  <c r="GK5" i="6"/>
  <c r="GM5" i="6"/>
  <c r="GJ5" i="6"/>
  <c r="FU5" i="6"/>
  <c r="FW5" i="6"/>
  <c r="FT5" i="6"/>
  <c r="HF5" i="6"/>
  <c r="HG5" i="6"/>
  <c r="HE5" i="6"/>
  <c r="HD5" i="6"/>
  <c r="HV5" i="6"/>
  <c r="HT5" i="6"/>
  <c r="HW5" i="6"/>
  <c r="HU5" i="6"/>
  <c r="GX5" i="6"/>
  <c r="GW5" i="6"/>
  <c r="GY5" i="6"/>
  <c r="GV5" i="6"/>
  <c r="GP5" i="6"/>
  <c r="GN5" i="6"/>
  <c r="GT5" i="6"/>
  <c r="GU5" i="6"/>
  <c r="GS5" i="6"/>
  <c r="GR5" i="6"/>
  <c r="FI5" i="6"/>
  <c r="FK5" i="6"/>
  <c r="FH5" i="6"/>
  <c r="FE5" i="6"/>
  <c r="FG5" i="6"/>
  <c r="FD5" i="6"/>
  <c r="DS5" i="6"/>
  <c r="DT5" i="6"/>
  <c r="DR5" i="6"/>
  <c r="DQ5" i="6"/>
  <c r="DG5" i="6"/>
  <c r="DH5" i="6"/>
  <c r="DE5" i="6"/>
  <c r="DF5" i="6"/>
  <c r="DW5" i="6"/>
  <c r="DX5" i="6"/>
  <c r="DU5" i="6"/>
  <c r="DV5" i="6"/>
  <c r="DC5" i="6"/>
  <c r="DD5" i="6"/>
  <c r="DB5" i="6"/>
  <c r="DA5" i="6"/>
  <c r="DK5" i="6"/>
  <c r="DL5" i="6"/>
  <c r="DJ5" i="6"/>
  <c r="DI5" i="6"/>
  <c r="EA5" i="6"/>
  <c r="EB5" i="6"/>
  <c r="DZ5" i="6"/>
  <c r="DY5" i="6"/>
  <c r="CY5" i="6"/>
  <c r="CZ5" i="6"/>
  <c r="CW5" i="6"/>
  <c r="CX5" i="6"/>
  <c r="DO5" i="6"/>
  <c r="DP5" i="6"/>
  <c r="DM5" i="6"/>
  <c r="DN5" i="6"/>
  <c r="EE5" i="6"/>
  <c r="EF5" i="6"/>
  <c r="EC5" i="6"/>
  <c r="ED5" i="6"/>
  <c r="CO5" i="6"/>
  <c r="BT5" i="6"/>
  <c r="BR5" i="6"/>
  <c r="BP5" i="6"/>
  <c r="BN5" i="6"/>
  <c r="BM5" i="6"/>
  <c r="BY5" i="6"/>
  <c r="BL5" i="6"/>
  <c r="BJ5" i="6"/>
  <c r="BI5" i="6"/>
  <c r="CL5" i="6"/>
  <c r="BX5" i="6"/>
  <c r="AQ5" i="6"/>
  <c r="CK5" i="6"/>
  <c r="BZ5" i="6"/>
  <c r="C9" i="167"/>
  <c r="C11" i="165"/>
  <c r="C27" i="165"/>
  <c r="C36" i="165"/>
  <c r="C50" i="165"/>
  <c r="C59" i="165"/>
  <c r="C68" i="165"/>
  <c r="C82" i="165"/>
  <c r="C91" i="165"/>
  <c r="CR5" i="6"/>
  <c r="C10" i="167"/>
  <c r="C12" i="165"/>
  <c r="C28" i="165"/>
  <c r="C42" i="165"/>
  <c r="C51" i="165"/>
  <c r="C60" i="165"/>
  <c r="C74" i="165"/>
  <c r="C83" i="165"/>
  <c r="U5" i="6"/>
  <c r="BE5" i="6"/>
  <c r="BH5" i="6"/>
  <c r="G34" i="5"/>
  <c r="AB5" i="6" s="1"/>
  <c r="W13" i="5"/>
  <c r="E9" i="5" s="1"/>
  <c r="B5" i="6"/>
  <c r="D5" i="6"/>
  <c r="C5" i="6"/>
  <c r="BF5" i="6"/>
  <c r="CS5" i="6"/>
  <c r="CT5" i="6"/>
  <c r="CU5" i="6"/>
  <c r="CV5" i="6"/>
  <c r="G42" i="5" l="1"/>
  <c r="F9" i="5" s="1"/>
  <c r="BD5" i="6"/>
  <c r="R5" i="6"/>
  <c r="T5" i="6"/>
  <c r="X5" i="6"/>
  <c r="E9" i="430"/>
  <c r="V5" i="6"/>
  <c r="S5" i="6"/>
  <c r="Q5" i="6"/>
  <c r="GQ5" i="6"/>
  <c r="LG5" i="6" s="1"/>
  <c r="AN5" i="6"/>
  <c r="C10" i="165"/>
  <c r="C44" i="165"/>
  <c r="C76" i="165"/>
  <c r="AZ5" i="6"/>
  <c r="C26" i="165"/>
  <c r="C58" i="165"/>
  <c r="C90" i="165"/>
  <c r="AL5" i="6"/>
  <c r="AR5" i="6"/>
  <c r="AX5" i="6"/>
  <c r="C34" i="165"/>
  <c r="C66" i="165"/>
  <c r="C18" i="165"/>
  <c r="C35" i="165"/>
  <c r="C67" i="165"/>
  <c r="C12" i="162"/>
  <c r="C12" i="340" s="1"/>
  <c r="Z5" i="6"/>
  <c r="AU5" i="6"/>
  <c r="AV5" i="6"/>
  <c r="AA5" i="6"/>
  <c r="CD5" i="6"/>
  <c r="CH5" i="6"/>
  <c r="AF5" i="6"/>
  <c r="CC5" i="6"/>
  <c r="CG5" i="6"/>
  <c r="AI5" i="6"/>
  <c r="AE5" i="6"/>
  <c r="AJ5" i="6"/>
  <c r="BU5" i="6"/>
  <c r="BC5" i="6"/>
  <c r="N5" i="6"/>
  <c r="O5" i="6"/>
  <c r="LE5" i="6"/>
  <c r="LF5" i="6"/>
  <c r="LD5" i="6"/>
  <c r="M5" i="6"/>
  <c r="P5" i="6"/>
  <c r="J9" i="430" l="1"/>
  <c r="B9" i="430" s="1"/>
  <c r="F9" i="430"/>
  <c r="EJ5" i="6"/>
  <c r="EH5" i="6"/>
  <c r="EN5" i="6"/>
  <c r="IM5" i="6" s="1"/>
  <c r="EI5" i="6"/>
  <c r="EG5" i="6"/>
  <c r="EK5" i="6"/>
  <c r="KN5" i="6" s="1"/>
  <c r="EM5" i="6"/>
  <c r="EL5" i="6"/>
  <c r="IK5" i="6" s="1"/>
  <c r="E9" i="340" l="1"/>
  <c r="E9" i="162"/>
  <c r="EO5" i="6"/>
  <c r="ER5" i="6" s="1"/>
  <c r="LB5" i="6"/>
  <c r="KH5" i="6"/>
  <c r="LC5" i="6"/>
  <c r="IE5" i="6"/>
  <c r="JG5" i="6"/>
  <c r="IJ5" i="6"/>
  <c r="KQ5" i="6"/>
  <c r="IQ5" i="6"/>
  <c r="JK5" i="6"/>
  <c r="IC5" i="6"/>
  <c r="KK5" i="6"/>
  <c r="LA5" i="6"/>
  <c r="JM5" i="6"/>
  <c r="KG5" i="6"/>
  <c r="JY5" i="6"/>
  <c r="JI5" i="6"/>
  <c r="KC5" i="6"/>
  <c r="IG5" i="6"/>
  <c r="IO5" i="6"/>
  <c r="JQ5" i="6"/>
  <c r="KW5" i="6"/>
  <c r="JA5" i="6"/>
  <c r="KO5" i="6"/>
  <c r="II5" i="6"/>
  <c r="IU5" i="6"/>
  <c r="KA5" i="6"/>
  <c r="KI5" i="6"/>
  <c r="JC5" i="6"/>
  <c r="KS5" i="6"/>
  <c r="JW5" i="6"/>
  <c r="IY5" i="6"/>
  <c r="JS5" i="6"/>
  <c r="KZ5" i="6"/>
  <c r="KU5" i="6"/>
  <c r="JX5" i="6"/>
  <c r="KM5" i="6"/>
  <c r="KY5" i="6"/>
  <c r="KE5" i="6"/>
  <c r="JP5" i="6"/>
  <c r="IB5" i="6"/>
  <c r="IS5" i="6"/>
  <c r="JE5" i="6"/>
  <c r="IW5" i="6"/>
  <c r="JO5" i="6"/>
  <c r="JU5" i="6"/>
  <c r="KF5" i="6"/>
  <c r="JF5" i="6"/>
  <c r="KD5" i="6"/>
  <c r="IL5" i="6"/>
  <c r="KT5" i="6"/>
  <c r="JB5" i="6"/>
  <c r="IT5" i="6"/>
  <c r="IX5" i="6"/>
  <c r="KP5" i="6"/>
  <c r="JV5" i="6"/>
  <c r="KX5" i="6"/>
  <c r="IN5" i="6"/>
  <c r="IR5" i="6"/>
  <c r="IZ5" i="6"/>
  <c r="KV5" i="6"/>
  <c r="JL5" i="6"/>
  <c r="KR5" i="6"/>
  <c r="KL5" i="6"/>
  <c r="JJ5" i="6"/>
  <c r="IP5" i="6"/>
  <c r="JH5" i="6"/>
  <c r="JD5" i="6"/>
  <c r="KB5" i="6"/>
  <c r="IV5" i="6"/>
  <c r="IH5" i="6"/>
  <c r="JN5" i="6"/>
  <c r="JT5" i="6"/>
  <c r="KJ5" i="6"/>
  <c r="IF5" i="6"/>
  <c r="JR5" i="6"/>
  <c r="ID5" i="6"/>
  <c r="JZ5" i="6"/>
  <c r="D56" i="162" l="1"/>
  <c r="D52" i="162"/>
  <c r="C55" i="162"/>
  <c r="E55" i="162" s="1"/>
  <c r="C51" i="162"/>
  <c r="E51" i="162" s="1"/>
  <c r="D50" i="162"/>
  <c r="C49" i="162"/>
  <c r="E49" i="162" s="1"/>
  <c r="C56" i="162"/>
  <c r="E56" i="162" s="1"/>
  <c r="D55" i="162"/>
  <c r="D51" i="162"/>
  <c r="C58" i="162"/>
  <c r="E58" i="162" s="1"/>
  <c r="C54" i="162"/>
  <c r="E54" i="162" s="1"/>
  <c r="C50" i="162"/>
  <c r="E50" i="162" s="1"/>
  <c r="D58" i="162"/>
  <c r="D54" i="162"/>
  <c r="C57" i="162"/>
  <c r="E57" i="162" s="1"/>
  <c r="C53" i="162"/>
  <c r="E53" i="162" s="1"/>
  <c r="D57" i="162"/>
  <c r="D53" i="162"/>
  <c r="D49" i="162"/>
  <c r="C52" i="162"/>
  <c r="E52" i="162" s="1"/>
  <c r="EQ5" i="6"/>
  <c r="ET5" i="6" s="1"/>
  <c r="EU5" i="6" s="1"/>
  <c r="EP5" i="6"/>
  <c r="LN5" i="6"/>
  <c r="LI5" i="6"/>
  <c r="LQ5" i="6" s="1"/>
  <c r="LM5" i="6"/>
  <c r="LK5" i="6"/>
  <c r="LS5" i="6" s="1"/>
  <c r="LH5" i="6"/>
  <c r="LP5" i="6" s="1"/>
  <c r="LL5" i="6"/>
  <c r="LO5" i="6"/>
  <c r="ES5" i="6"/>
  <c r="LJ5" i="6"/>
  <c r="LR5" i="6" s="1"/>
  <c r="LT5" i="6" s="1"/>
  <c r="C59" i="162" l="1"/>
  <c r="LW5" i="6"/>
  <c r="EW5" i="6"/>
  <c r="LV5" i="6"/>
  <c r="LY5" i="6" s="1"/>
  <c r="LX5" i="6"/>
  <c r="LU5" i="6"/>
  <c r="ET6" i="6"/>
  <c r="MB5" i="6" l="1"/>
  <c r="MD5" i="6" s="1"/>
  <c r="LZ5" i="6"/>
  <c r="LY6" i="6"/>
  <c r="EV5" i="6" a="1"/>
  <c r="EV5" i="6" s="1"/>
  <c r="D12" i="162"/>
  <c r="D12" i="340" s="1"/>
  <c r="F9" i="162"/>
  <c r="F9" i="340" l="1"/>
  <c r="MC6" i="6"/>
  <c r="MC5" i="6"/>
  <c r="EY5" i="6"/>
  <c r="EX5" i="6"/>
  <c r="EX6" i="6"/>
  <c r="E12" i="340"/>
  <c r="E12" i="162"/>
</calcChain>
</file>

<file path=xl/sharedStrings.xml><?xml version="1.0" encoding="utf-8"?>
<sst xmlns="http://schemas.openxmlformats.org/spreadsheetml/2006/main" count="1436" uniqueCount="609">
  <si>
    <t>V1.0</t>
  </si>
  <si>
    <t>QIRA</t>
  </si>
  <si>
    <t>Warning</t>
  </si>
  <si>
    <t>This document is confidential and is intended for the attention of, and use by, organisations that are Members of the Information Security Forum (ISF). If you are not a Member of the ISF or have received this document in error, please destroy it or contact the ISF on info@securityforum.org. Any storage or use of this document by organisations which are not Members of the ISF is not permitted and strictly prohibited. This document has been produced with care and to the best of our ability. However, both the Information Security Forum and the Information Security Forum Limited accept no responsibility for any problems or incidents arising from its use.</t>
  </si>
  <si>
    <t>Classification</t>
  </si>
  <si>
    <t xml:space="preserve">Reference: ISF 19 04 01. Restricted to ISF Members and ISF Service Providers. ©2019 Information Security Forum Limited. All rights reserved. </t>
  </si>
  <si>
    <r>
      <t xml:space="preserve">QIRA </t>
    </r>
    <r>
      <rPr>
        <sz val="30"/>
        <color rgb="FF071D49"/>
        <rFont val="Calibri"/>
        <family val="2"/>
        <scheme val="minor"/>
      </rPr>
      <t>Introduction</t>
    </r>
  </si>
  <si>
    <t>This Accelerator Tool accompanies the ISF Quantitative Techniques in Information Risk Analysis (QIRA) report as part of the implementation programme of this project, and replicates the phases of the ISF Approach as set out in the report, and shown in the diagram below. The QIRA Accelerator Tool is intended to be used alongside the workshops being delivered throughout the year and is recognised as not being fully mature at this stage. The ISF welcomes and encourages feedback and suggestions as to how this experimental project can be improved and developed by our Membership in order to improve the offering from our QIRA project.</t>
  </si>
  <si>
    <t>Threat</t>
  </si>
  <si>
    <t>Threat event</t>
  </si>
  <si>
    <t>C,I,A</t>
  </si>
  <si>
    <t>Environment</t>
  </si>
  <si>
    <r>
      <rPr>
        <b/>
        <sz val="30"/>
        <color rgb="FF9D2235"/>
        <rFont val="Calibri"/>
        <family val="2"/>
        <scheme val="minor"/>
      </rPr>
      <t>QIRA</t>
    </r>
    <r>
      <rPr>
        <sz val="30"/>
        <color rgb="FF071D49"/>
        <rFont val="Calibri"/>
        <family val="2"/>
        <scheme val="minor"/>
      </rPr>
      <t xml:space="preserve"> Scope</t>
    </r>
  </si>
  <si>
    <t>Scoping is a fundamental activity when undertaking any information risk analysis. This worksheet helps the practitioner to scope their assessment by defining the environment to be analysed. The practitioner should also identify the key contacts that they will need in other departments within the organisation, as some of the information required may not be known by the information security function. Pages 23-24 of the ISF Quantitative Techniques in Information Risk Analysis report help further explain this sheet.</t>
  </si>
  <si>
    <t>-</t>
  </si>
  <si>
    <t>GENERAL</t>
  </si>
  <si>
    <t>Competitor</t>
  </si>
  <si>
    <t>Authentication attacks</t>
  </si>
  <si>
    <t>Availability</t>
  </si>
  <si>
    <t>The entire enterprise</t>
  </si>
  <si>
    <t>Customer </t>
  </si>
  <si>
    <t>Authorisation attacks</t>
  </si>
  <si>
    <t>Confidentiality</t>
  </si>
  <si>
    <t>A group headquarters</t>
  </si>
  <si>
    <t>Analyst information</t>
  </si>
  <si>
    <t>Response</t>
  </si>
  <si>
    <t>Employee (general)</t>
  </si>
  <si>
    <t>Communications attacks</t>
  </si>
  <si>
    <t>Confidentiality &amp; Integrity</t>
  </si>
  <si>
    <t>A business unit</t>
  </si>
  <si>
    <t>Risk assessment name</t>
  </si>
  <si>
    <t>Employee (privileged)</t>
  </si>
  <si>
    <t>Denial of service</t>
  </si>
  <si>
    <t>Confidentiality &amp; Availability</t>
  </si>
  <si>
    <t>An organisational department</t>
  </si>
  <si>
    <t>Name of sponsor</t>
  </si>
  <si>
    <t>Hacking group</t>
  </si>
  <si>
    <t>Information leakage</t>
  </si>
  <si>
    <t>Confidentiality, Integrity &amp; Availability</t>
  </si>
  <si>
    <t>Security management</t>
  </si>
  <si>
    <t>Risk assessment coordinator</t>
  </si>
  <si>
    <t>Individual hacker</t>
  </si>
  <si>
    <t>Malware</t>
  </si>
  <si>
    <t>Integrity</t>
  </si>
  <si>
    <t>A critical business application</t>
  </si>
  <si>
    <t>Date of assessment</t>
  </si>
  <si>
    <t>Investigative journalist</t>
  </si>
  <si>
    <t>Misconfiguration</t>
  </si>
  <si>
    <t>Integrity &amp; Availability</t>
  </si>
  <si>
    <t>A computer installation</t>
  </si>
  <si>
    <t>Nation state</t>
  </si>
  <si>
    <t>Misuse</t>
  </si>
  <si>
    <t>A network</t>
  </si>
  <si>
    <t>SCENARIO INFORMATION</t>
  </si>
  <si>
    <t>Organised criminal group</t>
  </si>
  <si>
    <t>Physical</t>
  </si>
  <si>
    <t>System under development</t>
  </si>
  <si>
    <t>Supplier/vendor/partner (external)</t>
  </si>
  <si>
    <t>Reconnaissance/information gathering</t>
  </si>
  <si>
    <t>An end user environment</t>
  </si>
  <si>
    <t>Loss event scenario information</t>
  </si>
  <si>
    <t>Supplier/vendor/partner (internal)</t>
  </si>
  <si>
    <t>Social engineering</t>
  </si>
  <si>
    <t>A service provider</t>
  </si>
  <si>
    <t>Hurricane</t>
  </si>
  <si>
    <t>Terrorist group</t>
  </si>
  <si>
    <t>Software exploitation</t>
  </si>
  <si>
    <t>Other</t>
  </si>
  <si>
    <t>Natural hazard</t>
  </si>
  <si>
    <t>Behavioural</t>
  </si>
  <si>
    <t>Process failure</t>
  </si>
  <si>
    <t>Information asset</t>
  </si>
  <si>
    <t>Technology failure</t>
  </si>
  <si>
    <t>Loss effect (C,I,A)</t>
  </si>
  <si>
    <t>Biological event</t>
  </si>
  <si>
    <t>Timeframe assessed from</t>
  </si>
  <si>
    <t>Meteorological event</t>
  </si>
  <si>
    <t>Timeframe assessed to</t>
  </si>
  <si>
    <t>Damage to or loss of external communications</t>
  </si>
  <si>
    <t>Geological event</t>
  </si>
  <si>
    <t>Earthquake</t>
  </si>
  <si>
    <t>Hydrological event</t>
  </si>
  <si>
    <t>KEY DEPARTMENTAL CONTACTS</t>
  </si>
  <si>
    <t>Failure of environmental control systems</t>
  </si>
  <si>
    <t>Fire (structural)</t>
  </si>
  <si>
    <t>Infrastructure failure</t>
  </si>
  <si>
    <t>Title</t>
  </si>
  <si>
    <t>Name</t>
  </si>
  <si>
    <t>Organisation</t>
  </si>
  <si>
    <t>Fire (wild)</t>
  </si>
  <si>
    <t>Communications</t>
  </si>
  <si>
    <t>Flooding (structural)</t>
  </si>
  <si>
    <t>Finance</t>
  </si>
  <si>
    <t>Flooding (wild)</t>
  </si>
  <si>
    <t>Human Resources</t>
  </si>
  <si>
    <t>Hardware malfunction or failure</t>
  </si>
  <si>
    <t>Information Security</t>
  </si>
  <si>
    <t>IT</t>
  </si>
  <si>
    <t>Pathogen (e.g., disease outbreak)</t>
  </si>
  <si>
    <t>Legal</t>
  </si>
  <si>
    <t>Power failure or fluctuation</t>
  </si>
  <si>
    <t>Procurement</t>
  </si>
  <si>
    <t>Storm (e.g., hail, thunder, blizzard)</t>
  </si>
  <si>
    <t>Risk &amp; Compliance</t>
  </si>
  <si>
    <t>Tornado</t>
  </si>
  <si>
    <t>QIRA facilitator</t>
  </si>
  <si>
    <t>Tsunami</t>
  </si>
  <si>
    <t>Volcanic eruption</t>
  </si>
  <si>
    <r>
      <rPr>
        <b/>
        <sz val="30"/>
        <color rgb="FF9D2235"/>
        <rFont val="Calibri"/>
        <family val="2"/>
        <scheme val="minor"/>
      </rPr>
      <t>QIRA</t>
    </r>
    <r>
      <rPr>
        <b/>
        <sz val="30"/>
        <color rgb="FF071D49"/>
        <rFont val="Calibri"/>
        <family val="2"/>
        <scheme val="minor"/>
      </rPr>
      <t xml:space="preserve"> </t>
    </r>
    <r>
      <rPr>
        <sz val="30"/>
        <color rgb="FF071D49"/>
        <rFont val="Calibri"/>
        <family val="2"/>
        <scheme val="minor"/>
      </rPr>
      <t>Collect</t>
    </r>
  </si>
  <si>
    <t>Options</t>
  </si>
  <si>
    <t>Yes</t>
  </si>
  <si>
    <t>No</t>
  </si>
  <si>
    <t>To inform the loss scenario, the organisation needs to collect data from identified sources. This worksheet helps the practitioner identify what information sources they have available to them to assist in gathering data, which can then be used in the Calculate phase. Pages 25-26 of the ISF Quantitative Techniques in Information Risk Analysis report help further explain this sheet.</t>
  </si>
  <si>
    <t>Not known</t>
  </si>
  <si>
    <t>DATA SOURCES</t>
  </si>
  <si>
    <t>#</t>
  </si>
  <si>
    <t>Question</t>
  </si>
  <si>
    <t>Information</t>
  </si>
  <si>
    <t>Comment</t>
  </si>
  <si>
    <t>ISO/IEC 31010 highlights “the use of relevant historical data to identify events or situations which have occurred in the past and hence be able to extrapolate the probability of their occurrence in the future” .</t>
  </si>
  <si>
    <t>External sources such as information-sharing forums, national CERTs, vendors and open source threat feeds. Organisations can also access industry resources including Verizon’s Data Breach Investigations Report or Cyentia Library Reports, which can provide a valuable contribution to analysis.</t>
  </si>
  <si>
    <t>Sources of information may include sources such as threat intelligence, practitioners, or external subscriptions.</t>
  </si>
  <si>
    <t>Is it possible to identify trends in the frequency of incidents over time based on the variety of sources?</t>
  </si>
  <si>
    <t>Trend analysis compares the number of incidents over a specific period (typically annualised) that suggests whether incidents are increasing or decreasing between intervals.</t>
  </si>
  <si>
    <t>DATA: REPUTATION VALUE</t>
  </si>
  <si>
    <t>Is your organisation a publicly listed company?</t>
  </si>
  <si>
    <t>What is the current stock or share price of the company?</t>
  </si>
  <si>
    <t>What has been the highest share value of the organisation in an annual period?</t>
  </si>
  <si>
    <t>What has been the lowest share value of the organisation in an annual period?</t>
  </si>
  <si>
    <t>What has been the average share value of the organisation in an annual period?</t>
  </si>
  <si>
    <t>DATA: OPPORTUNITY COST</t>
  </si>
  <si>
    <t>What is the average daily turnover in terms of sales and services delivered by the organisation in an annual period?</t>
  </si>
  <si>
    <t>What is the highest daily turnover in terms of sales and services delivered by the organisation in an annual period?</t>
  </si>
  <si>
    <t>What is the lowest daily turnover in terms of sales and services delivered by the organisation in an annual period?</t>
  </si>
  <si>
    <t>How many employees / contractors do you have working in the target environment in an annual period?</t>
  </si>
  <si>
    <t>What is the lowest staffing cost in an annual period?</t>
  </si>
  <si>
    <t>What is the highest staffing cost in an annual period?</t>
  </si>
  <si>
    <t>What is the typical staffing cost in an annual period?</t>
  </si>
  <si>
    <t>DATA: LEGAL AND REGULATORY</t>
  </si>
  <si>
    <t>Legal and regulatory costs are a major consideration and data is publicly available for the amount regulators impose.</t>
  </si>
  <si>
    <t>Is the organisation subject to the GDPR?</t>
  </si>
  <si>
    <t>Yes/No</t>
  </si>
  <si>
    <t>17a</t>
  </si>
  <si>
    <t>What is the maximum penalty the regulator can impose for a contravention?</t>
  </si>
  <si>
    <t>17b</t>
  </si>
  <si>
    <t>What is the minimum penalty the regulator can impose for a contravention?</t>
  </si>
  <si>
    <t>17c</t>
  </si>
  <si>
    <t>What is the most likely penalty the regulator will impose for a contravention?</t>
  </si>
  <si>
    <t>17d</t>
  </si>
  <si>
    <t>Comments:</t>
  </si>
  <si>
    <t>Is the organisation subject to the NIS Directive?</t>
  </si>
  <si>
    <t>18a</t>
  </si>
  <si>
    <t>18b</t>
  </si>
  <si>
    <t>18c</t>
  </si>
  <si>
    <t>18d</t>
  </si>
  <si>
    <t>Is the organisation subject to the Sarbanes-Oxley Act?</t>
  </si>
  <si>
    <t>19a</t>
  </si>
  <si>
    <t>19b</t>
  </si>
  <si>
    <t>19c</t>
  </si>
  <si>
    <t>19d</t>
  </si>
  <si>
    <t>Is the organisation subject to PCI DSS?</t>
  </si>
  <si>
    <t>20a</t>
  </si>
  <si>
    <t>20b</t>
  </si>
  <si>
    <t>20c</t>
  </si>
  <si>
    <t>20d</t>
  </si>
  <si>
    <t>Is the organisation subject to HIPPA/HITECH?</t>
  </si>
  <si>
    <t>21a</t>
  </si>
  <si>
    <t>21b</t>
  </si>
  <si>
    <t>21c</t>
  </si>
  <si>
    <t>21d</t>
  </si>
  <si>
    <t>Is the organisation subject to an Identity Theft protection programme (e.g. FTC "Red Flags" programme)?</t>
  </si>
  <si>
    <t>22a</t>
  </si>
  <si>
    <t>22b</t>
  </si>
  <si>
    <t>22c</t>
  </si>
  <si>
    <t>22d</t>
  </si>
  <si>
    <t>Is the organisation subject to the Gramm-Leach Bliley Act?</t>
  </si>
  <si>
    <t>23a</t>
  </si>
  <si>
    <t>23b</t>
  </si>
  <si>
    <t>23c</t>
  </si>
  <si>
    <t>23d</t>
  </si>
  <si>
    <t>Is the organisation subject to the California Breach Notification Law?</t>
  </si>
  <si>
    <t>24a</t>
  </si>
  <si>
    <t>24b</t>
  </si>
  <si>
    <t>24c</t>
  </si>
  <si>
    <t>24d</t>
  </si>
  <si>
    <t>Is the organisation subject to Californian Do Not Track laws?</t>
  </si>
  <si>
    <t>25a</t>
  </si>
  <si>
    <t>25b</t>
  </si>
  <si>
    <t>25c</t>
  </si>
  <si>
    <t>25d</t>
  </si>
  <si>
    <t>Is the organisation subject to the NYDFS Cybersecurity Regulation?</t>
  </si>
  <si>
    <t>26a</t>
  </si>
  <si>
    <t>26b</t>
  </si>
  <si>
    <t>26c</t>
  </si>
  <si>
    <t>26d</t>
  </si>
  <si>
    <t>Other (please modify accordingly)</t>
  </si>
  <si>
    <t>27a</t>
  </si>
  <si>
    <t>27b</t>
  </si>
  <si>
    <t>27c</t>
  </si>
  <si>
    <t>27d</t>
  </si>
  <si>
    <t>DATA: ASSETS</t>
  </si>
  <si>
    <t>Does the organisation have a repository of information assets?</t>
  </si>
  <si>
    <t>What is the approximate number of servers on the organisations network?</t>
  </si>
  <si>
    <t>What is the approximate value per server?</t>
  </si>
  <si>
    <t>What is the approximate number of computer terminals or laptops that the organisation owns?</t>
  </si>
  <si>
    <t>What is the approximate value per computer terminal or laptop?</t>
  </si>
  <si>
    <t>Does the organisation have an SLA with a cloud service provider?</t>
  </si>
  <si>
    <t>Does the target environment contain any of the following assets:</t>
  </si>
  <si>
    <t>34a</t>
  </si>
  <si>
    <t>Web applications?</t>
  </si>
  <si>
    <t>34b</t>
  </si>
  <si>
    <t>Mobile devices (e.g. laptops, tablets and smartphones)</t>
  </si>
  <si>
    <t>34c</t>
  </si>
  <si>
    <t>Point of Sale (PoS) systems</t>
  </si>
  <si>
    <t>34d</t>
  </si>
  <si>
    <t>Terminals</t>
  </si>
  <si>
    <t>34e</t>
  </si>
  <si>
    <t>Removable Media</t>
  </si>
  <si>
    <t>34f</t>
  </si>
  <si>
    <t>Industrial Control Systems</t>
  </si>
  <si>
    <t>34g</t>
  </si>
  <si>
    <t>Healthcare devices</t>
  </si>
  <si>
    <t>34h</t>
  </si>
  <si>
    <t>Critical IoT</t>
  </si>
  <si>
    <t>34i</t>
  </si>
  <si>
    <t>Non-Critical IoT</t>
  </si>
  <si>
    <r>
      <rPr>
        <b/>
        <sz val="30"/>
        <color rgb="FF9D2235"/>
        <rFont val="Calibri"/>
        <family val="2"/>
        <scheme val="minor"/>
      </rPr>
      <t>QIRA</t>
    </r>
    <r>
      <rPr>
        <b/>
        <sz val="30"/>
        <color rgb="FF071D49"/>
        <rFont val="Calibri"/>
        <family val="2"/>
        <scheme val="minor"/>
      </rPr>
      <t xml:space="preserve"> </t>
    </r>
    <r>
      <rPr>
        <sz val="30"/>
        <color rgb="FF071D49"/>
        <rFont val="Calibri"/>
        <family val="2"/>
        <scheme val="minor"/>
      </rPr>
      <t>Calculate</t>
    </r>
  </si>
  <si>
    <t>The crux of any risk analysis is determining the probability of an event occurring and the range of loss it will cause (i.e. frequency x severity). This worksheet helps the practitioner to record the probability and financial loss figures associated with information assets that are impacted by threat events in the scenario being modelled. These estimates capture loss event frequency, primary loss, secondary loss and the frequency of secondary loss. The practitioner can also refine these estimates here through a further set of questions, which take account of trend analysis future probability forecasts. Pages 27-35 of the ISF Quantitative Techniques in Information Risk Analysis report help further explain this sheet.</t>
  </si>
  <si>
    <t>PROBABILITY: PAST FREQUENCY</t>
  </si>
  <si>
    <t>When calculating probability, the objective is to provide a frequency figure. This is because a probabilistic approach enables practitioners to calculate how often an event occurs within a given time period. For example, the organisation forecasts five SQL injections against its customer-facing website in the next year. If the organisation suffered 1 successful ransomware attack (loss event) last year out of 20 attempted ransomware attacks (security events) the organisation’s frequency would be 1 (since this demonstrates the number of ransomware attacks causing loss to the organisation). This figure also implicitly accounts for factors such as the organisation’s percentage of control and vulnerability – suffering 1 successful ransomware attack last year out of 20 attempts demonstrates the organisation has a 95% control and a 5% vulnerability. Since, for every 20 ransomware attacks, only 5% (i.e. 1) are successful.</t>
  </si>
  <si>
    <t>The response should be recorded as a whole number (not a decimal or fraction) and should reflect the lowest plausible number that was recorded by your organisation or by industry peers if you don't record such data.</t>
  </si>
  <si>
    <t>If you have no data for this, or none occurred, consider how many could have occurred or what the highest number was for an equivalent organisation. This requires an answer that is higher than the minimum (zero is not a legitimate response).</t>
  </si>
  <si>
    <t>A mode is not required for the estimate, although it will improve the accuracy of your analysis.</t>
  </si>
  <si>
    <t>PROBABILITY: REFINED FREQUENCY (OPTIONAL)</t>
  </si>
  <si>
    <t>While frequency represents a discrete (binary) variable – i.e. the event(s) does or does not occur – the practitioner cannot be certain as to how many events the organisation may experience in the next year. The figures recorded here show the forecasted trend of the event, so should be a percentage increase or decrease of the Past Frequency (e.g. if the Past Frequency is expected to double, then the figure recorded would be 200%). To improve accuracy, instead of forecasting 5 attacks as a discrete figure, the organisation can provide a range (e.g. 1–10) with a 90% CI. Note that this question is not required to complete the assessment.</t>
  </si>
  <si>
    <t>The figure here represents the bottom end of the range and should be expressed as a percentage of the Past Frequency i.e. if half the number of incidents is estimated compared with the last period, the Response should be 50%. If the number of incidents is estimated to double, the Response should be 200%.</t>
  </si>
  <si>
    <t>The figure here represents the top end of the range and should be expressed as a percentage, as detailed above.</t>
  </si>
  <si>
    <t>The figure here represents the most common point of the range and should be expressed as a percentage, as detailed above.</t>
  </si>
  <si>
    <t>PRIMARY LOSS: PRODUCTIVITY</t>
  </si>
  <si>
    <t xml:space="preserve">Productivity loss describes the loss incurred from a lack of availability: the inability of the organisation to deliver its products or services. This has the potential for wide-ranging costs depending on the incident and affected infrastructure. It may be the inability to access an application or the loss of availability to an entire online customer payment system (this may also be represented in secondary loss contributing to loss of revenue). Productivity loss is also not restricted to availability. Compromising the confidentiality and integrity of information can also affect productivity – for example, service disruption due to a breach of classified material or corrupted information that hinders client-facing services. However, productivity loss is customarily a result of system downtime. </t>
  </si>
  <si>
    <t>Comment / Asset description</t>
  </si>
  <si>
    <t>This cost (or loss) expressed as a financial value, represents the minimum point in your range for losses associated with productivity (e.g. sales lost as a result of system downtime).</t>
  </si>
  <si>
    <t>If you have no data for this, or none occurred, consider how many could have occurred or what the highest number was for an equivalent organisation.</t>
  </si>
  <si>
    <t>PRIMARY LOSS: RESPONSE</t>
  </si>
  <si>
    <t>Response loss describes the loss incurred from investigating and managing an incident, as well as triaging affected assets. This will be one of the most common primary losses experienced by the organisation. Associated costs may include the cost of: man-hours taken to reboot systems; hiring third-party services; wiping systems; and forensic analysis. Organisations can gather the relevant loss data from individuals and business functions responsible for managing an incident, particularly the incident response and business continuity planning team.</t>
  </si>
  <si>
    <t>This cost (or loss) expressed as a financial value, represents the minimum point in your range for losses associated with response (e.g. additional system engineers hired to resolve the incident).</t>
  </si>
  <si>
    <t>This cost (or loss) expressed as a financial value, represents the maximum point in your range for losses associated with response (e.g. additional system engineers hired to resolve the incident).</t>
  </si>
  <si>
    <t>PRIMARY LOSS: REPLACEMENT</t>
  </si>
  <si>
    <t>Replacement loss describes the loss incurred from restoring services or replacing affected assets. This can vary from replacing single applications to entire systems. Associated costs also extend to any personnel changeover as a consequence of the incident, including terminating and hiring employees. Procurement groups will be a useful source for associated loss data with detailed information on the cost of assets. Organisations will need to engage with other business functions (e.g. HR) for determining replacement costs such as personnel.</t>
  </si>
  <si>
    <t>This cost (or loss) expressed as a financial value, represents the minimum point in your range for losses associated with replacement (e.g. new servers needed to be purchased).</t>
  </si>
  <si>
    <t>This cost (or loss) expressed as a financial value, represents the maximum point in your range for losses associated with replacement (e.g. new servers needed to be purchased).</t>
  </si>
  <si>
    <t>SECONDARY LOSS PROBABILITY: REPUTATION</t>
  </si>
  <si>
    <t>Reputation loss describes the loss incurred from damage to the external perception of the organisation and or its main value proposition. The organisation may quantify: annual expenditure on brand maintenance; loss of revenue; customer attrition; loss of immediate business; or cost of hiring a PR Manager. Organisations can also quantify any fall in stock price/share value (figures such as stock price are prone to fluctuation and would require the organisation to model the relationship between number of sales and stock prices).</t>
  </si>
  <si>
    <t>The figure here represents the bottom end of the range and should express the percentage of cases in which a reputational loss may be suffered as a result of an incident (e.g. if reputational loss only occurs a quarter of the time, the Response should 25%).</t>
  </si>
  <si>
    <t>SECONDARY LOSS PROBABILITY: LEGAL AND REGULATORY</t>
  </si>
  <si>
    <t>Legal liability and regulatory fines describe the loss incurred from penalties levied on the organisation as a result of an incident. These costs can be civil, criminal or contractual, and will vary depending on the incident, the organisation, and actions (or lack of) taken. While the organisation may incur contractual fines (e.g. breach of contract between service partners), most legal and regulatory losses are the result of civil or criminal penalties, imposed by national governments or institutions (e.g. Federal Trade Commission (FTC) or Information Commissioner’s Office (ICO)). The cost of legal counsel (internal and external) could also be accounted for here.</t>
  </si>
  <si>
    <t>The figure here represents the bottom end of the range and should express the percentage of cases in which a legal and regulatory loss may be suffered as a result of an incident (e.g. if legal and regulatory loss only occurs a quarter of the time, the Response should 25%).</t>
  </si>
  <si>
    <t>SECONDARY LOSS PROBABILITY: COMPETITIVE ADVANTAGE</t>
  </si>
  <si>
    <t>Competitive advantage describes the loss incurred from the organisation’s diminished advantage over its competitors. While some organisations consider this to be akin to reputational loss, many distinguish the two types since competitive loss can be observed as actively benefitting the organisation’s competitor(s). For example, if the organisation suffered exfiltration of intellectual property (IP) that was subsequently made public and seized upon by its competitors. As with reputational loss, the costs resulting from competitive loss can be challenging to quantify, but organisations can begin by measuring the value of their goods and services, supported by data from marketing and product groups within and external to the organisation. To aid competitive loss estimates, organisations should establish close relationships with business functions to account for all costs and expenses.</t>
  </si>
  <si>
    <t>The figure here represents the bottom end of the range and should express the percentage of cases in which a competitive advantage may suffer as a result of an incident (e.g. if competitive advantage loss only occurs a quarter of the time, the Response should 25%).</t>
  </si>
  <si>
    <t>FINANCIAL SECONDARY LOSS: REPUTATION</t>
  </si>
  <si>
    <t>This cost (or loss) expressed as a financial value, represents the minimum point in your range for losses associated with reputation (e.g. fall in share price).</t>
  </si>
  <si>
    <t>This cost (or loss) expressed as a financial value, represents the maximum point in your range for losses associated with reputation (e.g. fall in share price).</t>
  </si>
  <si>
    <t>FINANCIAL SECONDARY LOSS: LEGAL AND REGULATORY</t>
  </si>
  <si>
    <t>Legal liability and regulatory fines describe the loss incurred from penalties levied on the organisation as a result of an incident. These costs can be civil, criminal or contractual, and will vary depending on the incident, the organisation, and actions (or lack of) taken. While the organisation may incur contractual fines (e.g. breach of contract between service partners), most legal and regulatory losses are the result of civil or criminal penalties, imposed by national governments or institutions (e.g. Federal Trade Commission (FTC) or Information Commissioner’s Office (ICO)).</t>
  </si>
  <si>
    <t>This cost (or loss) expressed as a financial value, represents the minimum point in your range for losses associated with legal and regulatory (e.g. fines and lawyers).</t>
  </si>
  <si>
    <t>This cost (or loss) expressed as a financial value, represents the maximum point in your range for losses associated with legal and regulatory (e.g. fines and lawyers).</t>
  </si>
  <si>
    <t>FINANCIAL SECONDARY LOSS: COMPETITIVE ADVANTAGE</t>
  </si>
  <si>
    <t>This cost (or loss) expressed as a financial value, represents the minimum point in your range for losses associated with competitive advantage (e.g. customers moving to a competitor).</t>
  </si>
  <si>
    <t>This cost (or loss) expressed as a financial value, represents the maximum point in your range for losses associated with competitive advantage (e.g. customers moving to a competitor).</t>
  </si>
  <si>
    <t>ORGANISATION RISK APPETITE (OPTIONAL)</t>
  </si>
  <si>
    <t>Risk appetite is the nature (i.e. risk category) and amount (i.e. risk rating) of risk that an organisation is willing to accept to achieve its objectives.</t>
  </si>
  <si>
    <t>In no cases (or 0%): what is the amount (in financial terms) that the organisation can accept loss events exceeding?</t>
  </si>
  <si>
    <t>In a few cases (or 25%): what is the amount (in financial terms) that the organisation can accept loss events exceeding?</t>
  </si>
  <si>
    <t>In about half of cases (50%): what is the amount (in financial terms) that the organisation can accept loss events exceeding?</t>
  </si>
  <si>
    <t>In most cases (or 75%): what is the amount (in financial terms) that the organisation can accept loss events exceeding?</t>
  </si>
  <si>
    <t>In all cases (100%): what is amount (in financial terms) that the organisation can accept loss events exceeding?</t>
  </si>
  <si>
    <t>An alterative way to understand this, what amount can the organisation accept losing in the event of loss event and therefore not see fit to apply further controls to mitigate?</t>
  </si>
  <si>
    <r>
      <rPr>
        <b/>
        <sz val="30"/>
        <color rgb="FF9D2235"/>
        <rFont val="Calibri"/>
        <family val="2"/>
        <scheme val="minor"/>
      </rPr>
      <t>QIRA</t>
    </r>
    <r>
      <rPr>
        <b/>
        <sz val="30"/>
        <color rgb="FF071D49"/>
        <rFont val="Calibri"/>
        <family val="2"/>
        <scheme val="minor"/>
      </rPr>
      <t xml:space="preserve"> </t>
    </r>
    <r>
      <rPr>
        <sz val="30"/>
        <color rgb="FF071D49"/>
        <rFont val="Calibri"/>
        <family val="2"/>
        <scheme val="minor"/>
      </rPr>
      <t>Simulate</t>
    </r>
  </si>
  <si>
    <t>A Monte Carlo Simulation harnesses the values and results of the information risk calculation to model the probable outcomes of risk. This worksheet presents the practitioner with the data provided in the 'Calculate' sheet in a consolidated format. The practitioner can edit any of the below data, add comments and further descriptions to help explain what has been recorded and if desired can add up to seven further categories of loss by filling in the blank fields accordingly. Upon confirming that the data is correct (and making any appropriate modifications to the data in the tables below), the practitioner should run the Simulation macro by clicking the 'Simulate' button to the left. 
This macro uses a Monte Carlo Simulation to model risk and uncertainty. It generates the probability of different outcomes based on random and uncertain variables, including probability and loss estimates that are generated from the data consolidated in the tables below. The generated results are bound by a set of pre-determined parameters, based upon the estimates provided by the practitioner. Pages 38-39 of the ISF Quantitative Techniques in Information Risk Analysis report help further explain this sheet.</t>
  </si>
  <si>
    <t>LOSS SCENARIO SUMMARY</t>
  </si>
  <si>
    <t>Assessment Name</t>
  </si>
  <si>
    <t>Information Asset</t>
  </si>
  <si>
    <t>Threat Event</t>
  </si>
  <si>
    <t>Probability</t>
  </si>
  <si>
    <t>Loss</t>
  </si>
  <si>
    <t>CALCULATIONS</t>
  </si>
  <si>
    <t>Min</t>
  </si>
  <si>
    <t>Mode</t>
  </si>
  <si>
    <t>Max</t>
  </si>
  <si>
    <t>Min (%)</t>
  </si>
  <si>
    <t>Mode (%)</t>
  </si>
  <si>
    <t>Max (%)</t>
  </si>
  <si>
    <t>Primary Loss (£)</t>
  </si>
  <si>
    <t>Asset #</t>
  </si>
  <si>
    <t>Description</t>
  </si>
  <si>
    <t>Min (£)</t>
  </si>
  <si>
    <t>Mode (£)</t>
  </si>
  <si>
    <t>Max (£)</t>
  </si>
  <si>
    <t>Value (£)</t>
  </si>
  <si>
    <t>Comments</t>
  </si>
  <si>
    <t>Productivity</t>
  </si>
  <si>
    <t>Replacement</t>
  </si>
  <si>
    <t>Primary Loss:</t>
  </si>
  <si>
    <t>Secondary Loss Frequency (%)</t>
  </si>
  <si>
    <t>Average (%)</t>
  </si>
  <si>
    <t>Reputation</t>
  </si>
  <si>
    <t>Legal and regulatory</t>
  </si>
  <si>
    <t>Competitive advantage</t>
  </si>
  <si>
    <t>Secondary Loss (£)</t>
  </si>
  <si>
    <t>Average (£)</t>
  </si>
  <si>
    <t>Risk (£)</t>
  </si>
  <si>
    <t>Secondary Loss:</t>
  </si>
  <si>
    <t>DDOS</t>
  </si>
  <si>
    <t>Web App #1</t>
  </si>
  <si>
    <t>Server #75</t>
  </si>
  <si>
    <t>Database #2</t>
  </si>
  <si>
    <t>Test description</t>
  </si>
  <si>
    <t>Router #9</t>
  </si>
  <si>
    <t>Another test</t>
  </si>
  <si>
    <t>Hacker</t>
  </si>
  <si>
    <t>OCG</t>
  </si>
  <si>
    <t>Firewall</t>
  </si>
  <si>
    <t>Honeypots</t>
  </si>
  <si>
    <t>Consultants</t>
  </si>
  <si>
    <t>Guards</t>
  </si>
  <si>
    <t>VaR</t>
  </si>
  <si>
    <t>BIN DATA</t>
  </si>
  <si>
    <t>CONTROLS</t>
  </si>
  <si>
    <t>Controlled VaR</t>
  </si>
  <si>
    <t>Past Frequency</t>
  </si>
  <si>
    <t>% (so no LN)</t>
  </si>
  <si>
    <t>Threat Capability</t>
  </si>
  <si>
    <t>prob ave.</t>
  </si>
  <si>
    <t>Primary</t>
  </si>
  <si>
    <t>Secondary Risk</t>
  </si>
  <si>
    <t>%</t>
  </si>
  <si>
    <t>SLE</t>
  </si>
  <si>
    <t>Initial Risk</t>
  </si>
  <si>
    <t>EFFECTIVE</t>
  </si>
  <si>
    <t>COST</t>
  </si>
  <si>
    <t>VALUE</t>
  </si>
  <si>
    <t>SAVED</t>
  </si>
  <si>
    <t>"=VAR*AVE EFFECTIVENESS"</t>
  </si>
  <si>
    <t>NET COST</t>
  </si>
  <si>
    <t>"=(VaR*EFFECTIVENESS)-COST"</t>
  </si>
  <si>
    <t>Value</t>
  </si>
  <si>
    <t>Cost Total</t>
  </si>
  <si>
    <t>Saved Total</t>
  </si>
  <si>
    <t>Net Total</t>
  </si>
  <si>
    <t>Residual</t>
  </si>
  <si>
    <t>Residual Risk</t>
  </si>
  <si>
    <t>"=IFERROR(IF(Product=1,1,(IF(mode="",NORM.INV(rand(),(MAX-MIN)/2,LN(STDEV(max,min)),NORM.INV(rand(),PERT MEAN,LN(STDEV(max,min)))),0)"</t>
  </si>
  <si>
    <t>"=IFERROR(IF(Product=1,1,(IF(mode="",NORM.INV(rand(),(MAX-MIN)/2,(LN(max)-LN(min))/3.29),NORM.INV(rand(),(MIN+(4*MODE)+MAX)/6,(LN(max)-LN(min))/3.29)))),0)"</t>
  </si>
  <si>
    <t>"=IFERROR(IF(Product=1,1,(IF(mode="",LOGNORM.INV(RAND(),(LN(max)+LN(min))/2,(LN(max)-LN(min))/3.29),LOGNORM.INV(RAND(),((LN(MIN)+(4*LN(MODE))+LN(MAX))/6),(LN(MAX)-LN(MIN))/3.29)))),0)"</t>
  </si>
  <si>
    <t>"=IFERROR(IF(Product=1,1,(IF(MODE="",RAND()*(MAX-MIN)+MIN,(MODE+IF(RAND()&gt;0.5,RAND()*(MAX-MODE),RAND()*(MIN-MODE)))))),0)"</t>
  </si>
  <si>
    <t>"=IFERROR(IF(Product=1,1,(IF(mode="",NORM.INV(rand(),(MAX-MIN)/2,LN(STDEV(max,min)),NORM.INV(rand(),PERT MEAN,LN(STDEV(max,min)))),1)"------ The iferror has to be "1" instead of "0", so that in the case of nothing being present, this will not later screw up the overall probability figure, as it is generated on the basis of "PF X FP X TC", so if this were 0, you're buggered. If it's 1, it does nothing.</t>
  </si>
  <si>
    <t>"=IFERROR(IF(Product=1,1,(IF(mode="",NORM.INV(rand(),(MAX-MIN)/2,(LN(max)-LN(min))/3.29),NORM.INV(rand(),(MIN+(4*MODE)+MAX)/6,(LN(max)-LN(min))/3.29)))),1)"------ The iferror has to be "1" instead of "0", so that in the case of nothing being present, this will not later screw up the overall probability figure, as it is generated on the basis of "PF X FP X TC", so if this were 0, you're buggered. If it's 1, it does nothing.</t>
  </si>
  <si>
    <t>"=IFERROR(IF(Product=1,1,(IF(mode="",LOGNORM.INV(RAND(),(LN(max)+LN(min))/2,(LN(max)-LN(min))/3.29),LOGNORM.INV(RAND(),((LN(MIN)+(4*LN(MODE))+LN(MAX))/6),(LN(MAX)-LN(MIN))/3.29)))),1)"------ The iferror has to be "1" instead of "0", so that in the case of nothing being present, this will not later screw up the overall probability figure, as it is generated on the basis of "PF X FP X TC", so if this were 0, you're buggered. If it's 1, it does nothing.</t>
  </si>
  <si>
    <t>"=IFERROR(IF(Product=1,1,(IF(MODE="",RAND()*(MAX-MIN)+MIN,(MODE+IF(RAND()&gt;0.5,RAND()*(MAX-MODE),RAND()*(MIN-MODE)))))),1)" ------ The iferror has to be "1" instead of "0", so that in the case of nothing being present, this will not later screw up the overall probability figure, as it is generated on the basis of "PF X FP X TC", so if this were 0, you're buggered. If it's 1, it does nothing.</t>
  </si>
  <si>
    <t>Again, The iferror has to be "1" instead of "0", so that in the case of nothing being present, this will not later screw up the overall probability figure, as it is generated on the basis of "PF X FP X TC", so if this were 0, you're buggered. If it's 1, it does nothing.</t>
  </si>
  <si>
    <t>"=freq*prob*threat cap."</t>
  </si>
  <si>
    <t>Asset-1</t>
  </si>
  <si>
    <t>Asset-2</t>
  </si>
  <si>
    <t>Asset-3</t>
  </si>
  <si>
    <t>Asset-4</t>
  </si>
  <si>
    <t>Asset-5</t>
  </si>
  <si>
    <t>Asset-6</t>
  </si>
  <si>
    <t>Asset-7</t>
  </si>
  <si>
    <t>Asset-8</t>
  </si>
  <si>
    <t>Asset-9</t>
  </si>
  <si>
    <t>Asset-10</t>
  </si>
  <si>
    <t>Frequency-1</t>
  </si>
  <si>
    <t>Frequency-2</t>
  </si>
  <si>
    <t>Frequency-3</t>
  </si>
  <si>
    <t>Frequency-4</t>
  </si>
  <si>
    <t>Frequency-5</t>
  </si>
  <si>
    <t>Frequency-6</t>
  </si>
  <si>
    <t>Frequency-7</t>
  </si>
  <si>
    <t>Frequency-8</t>
  </si>
  <si>
    <t>Frequency-9</t>
  </si>
  <si>
    <t>Frequency-10</t>
  </si>
  <si>
    <t>Item-1</t>
  </si>
  <si>
    <t>Item-2</t>
  </si>
  <si>
    <t>Item-3</t>
  </si>
  <si>
    <t>Item-4</t>
  </si>
  <si>
    <t>Item-5</t>
  </si>
  <si>
    <t>Item-6</t>
  </si>
  <si>
    <t>Item-7</t>
  </si>
  <si>
    <t>Item-8</t>
  </si>
  <si>
    <t>Item-9</t>
  </si>
  <si>
    <t>Item-10</t>
  </si>
  <si>
    <t>"=sum(primary assets+((freq1*item-1)+(freq2*item2)…."</t>
  </si>
  <si>
    <t>"=probability average*SLE"</t>
  </si>
  <si>
    <t>"=MAX(LogNorm Range)"</t>
  </si>
  <si>
    <t>"=MIN(Lognorm Range)"</t>
  </si>
  <si>
    <t>"=ROUNDUP(SQRT(COUNT(Lognorm Range)),0)"</t>
  </si>
  <si>
    <t>"=2*(QUARTILE(data set,3)-QUARTILE(data set,1))*(1/(COUNT(data set)^(1/3)))</t>
  </si>
  <si>
    <t>"=Min, then MIN+Increment, then step2+increment, then step3+increment, etc. to no.BINS"</t>
  </si>
  <si>
    <t>Effective-1</t>
  </si>
  <si>
    <t>Effective-2</t>
  </si>
  <si>
    <t>Effective-3</t>
  </si>
  <si>
    <t>Effective-4</t>
  </si>
  <si>
    <t>Effective-5</t>
  </si>
  <si>
    <t>Effective-6</t>
  </si>
  <si>
    <t>Effective-7</t>
  </si>
  <si>
    <t>Effective-8</t>
  </si>
  <si>
    <t>Effective-9</t>
  </si>
  <si>
    <t>Effective-10</t>
  </si>
  <si>
    <t>Cost-1</t>
  </si>
  <si>
    <t>Cost-2</t>
  </si>
  <si>
    <t>Cost-3</t>
  </si>
  <si>
    <t>Cost-4</t>
  </si>
  <si>
    <t>Cost-5</t>
  </si>
  <si>
    <t>Cost-6</t>
  </si>
  <si>
    <t>Cost-7</t>
  </si>
  <si>
    <t>Cost-8</t>
  </si>
  <si>
    <t>Cost-9</t>
  </si>
  <si>
    <t>Cost-10</t>
  </si>
  <si>
    <t>Value-1</t>
  </si>
  <si>
    <t>Value-2</t>
  </si>
  <si>
    <t>Value-3</t>
  </si>
  <si>
    <t>Value-4</t>
  </si>
  <si>
    <t>Value-5</t>
  </si>
  <si>
    <t>Value-6</t>
  </si>
  <si>
    <t>Value-7</t>
  </si>
  <si>
    <t>Value-8</t>
  </si>
  <si>
    <t>Value-9</t>
  </si>
  <si>
    <t>Value-10</t>
  </si>
  <si>
    <t>Net Cost-1</t>
  </si>
  <si>
    <t>Net Cost-2</t>
  </si>
  <si>
    <t>Net Cost-3</t>
  </si>
  <si>
    <t>Net Cost-4</t>
  </si>
  <si>
    <t>Net Cost-5</t>
  </si>
  <si>
    <t>Net Cost-6</t>
  </si>
  <si>
    <t>Net Cost-7</t>
  </si>
  <si>
    <t>Net Cost-8</t>
  </si>
  <si>
    <t>Net Cost-9</t>
  </si>
  <si>
    <t>Net Cost-10</t>
  </si>
  <si>
    <t>SUM Costs</t>
  </si>
  <si>
    <t>SUM Saved</t>
  </si>
  <si>
    <t>SUM Net</t>
  </si>
  <si>
    <t>VaR - SUM Saved</t>
  </si>
  <si>
    <t>NORM.Inv (+/- 5%)</t>
  </si>
  <si>
    <t>NORM.Inv (bounded)</t>
  </si>
  <si>
    <t>LOGNORM.INV</t>
  </si>
  <si>
    <t>CONTINUOUS</t>
  </si>
  <si>
    <t># Bins</t>
  </si>
  <si>
    <t>Width</t>
  </si>
  <si>
    <t>BINS</t>
  </si>
  <si>
    <t>SUMMARY</t>
  </si>
  <si>
    <t>compromises the integrity of information and reduces the availability of information</t>
  </si>
  <si>
    <t>breaches the confidentiality of information, compromises the integrity of information and reduces the availability of information</t>
  </si>
  <si>
    <r>
      <rPr>
        <b/>
        <sz val="30"/>
        <color rgb="FF9D2235"/>
        <rFont val="Calibri"/>
        <family val="2"/>
        <scheme val="minor"/>
      </rPr>
      <t xml:space="preserve">QIRA </t>
    </r>
    <r>
      <rPr>
        <sz val="30"/>
        <color rgb="FF071D49"/>
        <rFont val="Calibri"/>
        <family val="2"/>
        <scheme val="minor"/>
      </rPr>
      <t>Treatment (Collection)</t>
    </r>
  </si>
  <si>
    <t>Once a risk has been communicated, organisations will seek to prioritise multiple risks to determine the most effective mitigation. This worksheet helps the practitioner apply remediation controls to their initial Value at Risk (VaR). In the fields below, select a remediation control and suggest its cost. This cost should be expressed as a range. The practitioner should then estimate to what level the remediation control impacts the initial value at risk (VaR), to progress towards curtailing it to within acceptable levels. Using a percentage, this impact is expressed as a range. Data on determining control effectiveness may be sought from sources such as vendor and peer data, as well calibrated estimates from industry practitioners. Following this, a return on investment can be automatically estimated.
This section is not mandatory and practitioners can choose to add as many or as few additional remediation controls to assist in creating a risk treatment plan. Once they are happy with their results, the practitioner should continue to the next sheet to review inputs and resimulate. Pages 45-46 of the ISF Quantitative Techniques in Information Risk Analysis Report help further explain this sheet.</t>
  </si>
  <si>
    <t>REMEDIATION CONTROL 1</t>
  </si>
  <si>
    <t>Comment / Control description</t>
  </si>
  <si>
    <t>Please select your first remediation control</t>
  </si>
  <si>
    <t>Controls could be from the IRAM2 Control Library, ISO 27002 or other chosen by the practitioner.</t>
  </si>
  <si>
    <t>What is the minimum cost of implementing this control?</t>
  </si>
  <si>
    <t>This is the lowest financial figure that the organisation will have to spend to implement the control.</t>
  </si>
  <si>
    <t>What is the maximum cost of implementing this control?</t>
  </si>
  <si>
    <t>This is the highest financial figure that the organisation will have to spend to implement the control.</t>
  </si>
  <si>
    <t>What is the most likely cost of implementing this control?</t>
  </si>
  <si>
    <t>This is the most likely (mode) financial figure that the organisation will have to spend to implement the control.</t>
  </si>
  <si>
    <t>What is the minimum impact (as a percentage) that this control will have in reducing the initial VaR?</t>
  </si>
  <si>
    <t>If the initial VaR is £100 and the impact is 5%, the practitioner estimates the control will reduce loss by £5.</t>
  </si>
  <si>
    <t>What is the maximum impact (as a percentage) that this control will have in reducing the initial VaR?</t>
  </si>
  <si>
    <t>If the initial VaR is £100 and the impact is 10%, the practitioner estimates the control will reduce loss by £10.</t>
  </si>
  <si>
    <t>What is the most likely (mode) impact (as a percentage) that this control will have in reducing the initial VaR?</t>
  </si>
  <si>
    <t>If the initial VaR is £100 and the impact is 8%, the practitioner estimates the control will reduce loss by £8.</t>
  </si>
  <si>
    <t>REMEDIATION CONTROL 2</t>
  </si>
  <si>
    <t>Please select your second remediation control</t>
  </si>
  <si>
    <t>REMEDIATION CONTROL 3</t>
  </si>
  <si>
    <t>Please select your third remediation control</t>
  </si>
  <si>
    <t>REMEDIATION CONTROL 4</t>
  </si>
  <si>
    <t>Please select your fourth remediation control</t>
  </si>
  <si>
    <t>REMEDIATION CONTROL 5</t>
  </si>
  <si>
    <t>Please select your fifth remediation control</t>
  </si>
  <si>
    <t>REMEDIATION CONTROL 6</t>
  </si>
  <si>
    <t>Please select your sixth remediation control</t>
  </si>
  <si>
    <t>REMEDIATION CONTROL 7</t>
  </si>
  <si>
    <t>Please select your seventh remediation control</t>
  </si>
  <si>
    <t>REMEDIATION CONTROL 8</t>
  </si>
  <si>
    <t>Please select your eighth remediation control</t>
  </si>
  <si>
    <t>REMEDIATION CONTROL 9</t>
  </si>
  <si>
    <t>Please select your ninth remediation control</t>
  </si>
  <si>
    <t>REMEDIATION CONTROL 10</t>
  </si>
  <si>
    <t>Please select your tenth remediation control</t>
  </si>
  <si>
    <r>
      <rPr>
        <b/>
        <sz val="30"/>
        <color rgb="FF9D2235"/>
        <rFont val="Calibri"/>
        <family val="2"/>
        <scheme val="minor"/>
      </rPr>
      <t xml:space="preserve">QIRA </t>
    </r>
    <r>
      <rPr>
        <sz val="30"/>
        <color rgb="FF071D49"/>
        <rFont val="Calibri"/>
        <family val="2"/>
        <scheme val="minor"/>
      </rPr>
      <t>Treatment (Summary)</t>
    </r>
  </si>
  <si>
    <t>Once a risk has been communicated, organisations will seek to prioritise multiple risks to determine the most effective mitigation. This worksheet allows the practitioner to review their collected treatment data and to simulate the impact it will have on the initial VaR, to produce a residual VaR. This will also allow the practitioner to identify whether or not there will be a return on control (ROC), which is determined by dividing the reduction by the cost of the control, minus one. Upon confirming that the data is correct (and making any appropriate modifications to the data in the tables below), the practitioner should run the Simulation macro by clicking the 'Resimulate' button to the left. Pages 45-46 of the ISF Quantitative Techniques in Information Risk Analysis Report help further explain this sheet.</t>
  </si>
  <si>
    <t>Initial VaR</t>
  </si>
  <si>
    <t>Residual VaR</t>
  </si>
  <si>
    <t>Control Effectiveness</t>
  </si>
  <si>
    <t>Control Cost</t>
  </si>
  <si>
    <t>Control Saving</t>
  </si>
  <si>
    <t>Return on Control</t>
  </si>
  <si>
    <t>CONSOLIDATED CONTROL DATA</t>
  </si>
  <si>
    <t>Effectiveness</t>
  </si>
  <si>
    <t>Control</t>
  </si>
  <si>
    <t>Average:</t>
  </si>
  <si>
    <t>Cost</t>
  </si>
  <si>
    <t>Control Cost:</t>
  </si>
  <si>
    <t>Saved (£)</t>
  </si>
  <si>
    <t>Net Benefit (£)</t>
  </si>
  <si>
    <t xml:space="preserve">    </t>
  </si>
  <si>
    <t>Control Saving:</t>
  </si>
  <si>
    <r>
      <rPr>
        <b/>
        <sz val="30"/>
        <color rgb="FF9D2235"/>
        <rFont val="Calibri"/>
        <family val="2"/>
        <scheme val="minor"/>
      </rPr>
      <t xml:space="preserve">QIRA </t>
    </r>
    <r>
      <rPr>
        <sz val="30"/>
        <color rgb="FF071D49"/>
        <rFont val="Calibri"/>
        <family val="2"/>
        <scheme val="minor"/>
      </rPr>
      <t>Treatment (Results)</t>
    </r>
  </si>
  <si>
    <t>Once a risk has been communicated, organisations will seek to prioritise multiple risks to determine the most effective mitigation. This worksheet presents practitioners with the treated results of their simulation, based upon control data input by the practitioner on previous sheets. Pages 45-46 of the ISF Quantitative Techniques in Information Risk Analysis Report help further explain this sheet.</t>
  </si>
  <si>
    <t>TREATED VALUE AT RISK</t>
  </si>
  <si>
    <t>TREATED LOSS EXCEEDANCE CURVE</t>
  </si>
  <si>
    <t>TREATED VALUE AT RISK DISTRIBUTION</t>
  </si>
  <si>
    <r>
      <rPr>
        <b/>
        <sz val="30"/>
        <color rgb="FF9D2235"/>
        <rFont val="Calibri"/>
        <family val="2"/>
        <scheme val="minor"/>
      </rPr>
      <t>QIRA</t>
    </r>
    <r>
      <rPr>
        <sz val="30"/>
        <color rgb="FF071D49"/>
        <rFont val="Calibri"/>
        <family val="2"/>
        <scheme val="minor"/>
      </rPr>
      <t xml:space="preserve"> Functions</t>
    </r>
  </si>
  <si>
    <t>This sheet contains a list of functions utilised by the tool in order to create simulation data and model the results.</t>
  </si>
  <si>
    <t>Concept</t>
  </si>
  <si>
    <t>Formula(s)</t>
  </si>
  <si>
    <t>Bayes' Theorem</t>
  </si>
  <si>
    <t>A method to refine estimates based on additional, external data (e.g. Probability of having a disease=(Certainty of having the disease given symptoms presented*Likelihood of hypothesis given frequency in population)/Likelihood of having those symptoms anyhow).</t>
  </si>
  <si>
    <t>"Probability = (P(B|A)*(P(A))/P(B)"</t>
  </si>
  <si>
    <t>Bin Making</t>
  </si>
  <si>
    <t>Sorting the data produced by the Monte Carlo simulation into a histogram is done best if using Excel's Data Analysis package (enable the Data Analysis package from the options screen). The Data Analysis package will require series data and bin data. Bins are the increments used to group the different points generated by the Monte Carlo into ranges of numerical values that are plotted on the histogram's x-axis to display the frequency to be displayed, thus allowing practitioners to see the most likely point to occur.
Determining these bin increments requires knowledge of the maximum and minimum points of the series of points generated in the Monte Carlo simulation, as well as a count of the number of bins needed (approximately 100 for 10,000 simulations), as well as a formula to calculate the range of each bin generated. Finally the bin series can be created, which is the smallest point in the Monte Carlo (or 0), then that first point plus the range of each bin. This is carried out successively for the total number of bins in the series (100).</t>
  </si>
  <si>
    <r>
      <rPr>
        <b/>
        <sz val="12"/>
        <color theme="1"/>
        <rFont val="Calibri"/>
        <family val="2"/>
        <scheme val="minor"/>
      </rPr>
      <t xml:space="preserve">Max
</t>
    </r>
    <r>
      <rPr>
        <sz val="12"/>
        <color theme="1"/>
        <rFont val="Calibri"/>
        <family val="2"/>
        <scheme val="minor"/>
      </rPr>
      <t xml:space="preserve">"=MAX(Lognorm Range)"
</t>
    </r>
    <r>
      <rPr>
        <b/>
        <sz val="12"/>
        <color theme="1"/>
        <rFont val="Calibri"/>
        <family val="2"/>
        <scheme val="minor"/>
      </rPr>
      <t xml:space="preserve">Min
</t>
    </r>
    <r>
      <rPr>
        <sz val="12"/>
        <color theme="1"/>
        <rFont val="Calibri"/>
        <family val="2"/>
        <scheme val="minor"/>
      </rPr>
      <t xml:space="preserve">"=MIN(Lognorm Range)"
</t>
    </r>
    <r>
      <rPr>
        <b/>
        <sz val="12"/>
        <color theme="1"/>
        <rFont val="Calibri"/>
        <family val="2"/>
        <scheme val="minor"/>
      </rPr>
      <t xml:space="preserve">#Bins Needed
</t>
    </r>
    <r>
      <rPr>
        <sz val="12"/>
        <color theme="1"/>
        <rFont val="Calibri"/>
        <family val="2"/>
        <scheme val="minor"/>
      </rPr>
      <t xml:space="preserve">"=ROUNDUP(SQRT(COUNT(Lognorm Range)),0)"
</t>
    </r>
    <r>
      <rPr>
        <b/>
        <sz val="12"/>
        <color theme="1"/>
        <rFont val="Calibri"/>
        <family val="2"/>
        <scheme val="minor"/>
      </rPr>
      <t>Width of bins - Freedman–Diaconis rule</t>
    </r>
    <r>
      <rPr>
        <sz val="12"/>
        <color theme="1"/>
        <rFont val="Calibri"/>
        <family val="2"/>
        <scheme val="minor"/>
      </rPr>
      <t xml:space="preserve">
"Width = 2*(3rd quartile - 1st quartile(aka the inter-quartile range (IQR)))*inv. Cube root of no. data points
"=2*(QUARTILE(data set,3)-QUARTILE(data set,1))*(1/(COUNT(data set)^(1/3)))
</t>
    </r>
    <r>
      <rPr>
        <b/>
        <sz val="12"/>
        <color theme="1"/>
        <rFont val="Calibri"/>
        <family val="2"/>
        <scheme val="minor"/>
      </rPr>
      <t xml:space="preserve">Bins Themselves
</t>
    </r>
    <r>
      <rPr>
        <sz val="12"/>
        <color theme="1"/>
        <rFont val="Calibri"/>
        <family val="2"/>
        <scheme val="minor"/>
      </rPr>
      <t>"=Min, then Min+Increment, then step2+increment, then step3+increment, etc. for the no.BINS"</t>
    </r>
  </si>
  <si>
    <t>Bin Width / Interval</t>
  </si>
  <si>
    <r>
      <t xml:space="preserve">There is no optimal way to determine the intervals between bins for a histogram, and a variety of approaches have been developed. The most applicable one for the ISF approach appears to be the </t>
    </r>
    <r>
      <rPr>
        <sz val="12"/>
        <rFont val="Calibri"/>
        <family val="2"/>
        <scheme val="minor"/>
      </rPr>
      <t>Freedman-Diaconis' Choice but other approaches are possible and simply present the same data in different ways. The one ultimately selected depends on the practitioner's preference in how they want to present their data.</t>
    </r>
  </si>
  <si>
    <r>
      <rPr>
        <b/>
        <sz val="12"/>
        <color theme="1"/>
        <rFont val="Calibri"/>
        <family val="2"/>
        <scheme val="minor"/>
      </rPr>
      <t xml:space="preserve">Basic Approach
</t>
    </r>
    <r>
      <rPr>
        <sz val="11"/>
        <color theme="1"/>
        <rFont val="Calibri"/>
        <family val="2"/>
        <scheme val="minor"/>
      </rPr>
      <t>"=(max-min of data)/no. of bins</t>
    </r>
    <r>
      <rPr>
        <b/>
        <sz val="11"/>
        <color theme="1"/>
        <rFont val="Calibri"/>
        <family val="2"/>
        <scheme val="minor"/>
      </rPr>
      <t xml:space="preserve">
</t>
    </r>
    <r>
      <rPr>
        <b/>
        <sz val="12"/>
        <color theme="1"/>
        <rFont val="Calibri"/>
        <family val="2"/>
        <scheme val="minor"/>
      </rPr>
      <t xml:space="preserve">
Scott's Normal Reference Rule </t>
    </r>
    <r>
      <rPr>
        <sz val="12"/>
        <color theme="1"/>
        <rFont val="Calibri"/>
        <family val="2"/>
        <scheme val="minor"/>
      </rPr>
      <t>(good for normal distribution)</t>
    </r>
    <r>
      <rPr>
        <b/>
        <sz val="12"/>
        <color theme="1"/>
        <rFont val="Calibri"/>
        <family val="2"/>
        <scheme val="minor"/>
      </rPr>
      <t xml:space="preserve">
</t>
    </r>
    <r>
      <rPr>
        <sz val="11"/>
        <color theme="1"/>
        <rFont val="Calibri"/>
        <family val="2"/>
        <scheme val="minor"/>
      </rPr>
      <t>"Width = inverse cube root of the number of data points X standard deviation X 3.49
"=(1/(COUNT(range)^(1/3))*STDEV(range)*3.49)</t>
    </r>
    <r>
      <rPr>
        <b/>
        <sz val="12"/>
        <color theme="1"/>
        <rFont val="Calibri"/>
        <family val="2"/>
        <scheme val="minor"/>
      </rPr>
      <t xml:space="preserve">
Square-Root Choice
</t>
    </r>
    <r>
      <rPr>
        <sz val="11"/>
        <color theme="1"/>
        <rFont val="Calibri"/>
        <family val="2"/>
        <scheme val="minor"/>
      </rPr>
      <t>"Width = Square root of the number of data points
"SQRT(RANGE)</t>
    </r>
    <r>
      <rPr>
        <sz val="12"/>
        <color theme="1"/>
        <rFont val="Calibri"/>
        <family val="2"/>
        <scheme val="minor"/>
      </rPr>
      <t xml:space="preserve">
</t>
    </r>
    <r>
      <rPr>
        <b/>
        <sz val="12"/>
        <color theme="1"/>
        <rFont val="Calibri"/>
        <family val="2"/>
        <scheme val="minor"/>
      </rPr>
      <t xml:space="preserve">
Freedman–Diaconis' choice</t>
    </r>
    <r>
      <rPr>
        <sz val="12"/>
        <color theme="1"/>
        <rFont val="Calibri"/>
        <family val="2"/>
        <scheme val="minor"/>
      </rPr>
      <t xml:space="preserve">
</t>
    </r>
    <r>
      <rPr>
        <sz val="11"/>
        <color theme="1"/>
        <rFont val="Calibri"/>
        <family val="2"/>
        <scheme val="minor"/>
      </rPr>
      <t>"Width = 2*(3rd quartile - 1st quartile(aka the inter-quartile range (IQR)))*inv. Cube root of no. data points
"=2*(QUARTILE(data set,3)-QUARTILE(data set,1))*(1/(COUNT(data set)^(1/3)))</t>
    </r>
  </si>
  <si>
    <t>Continuous Distribution</t>
  </si>
  <si>
    <t>A simulation producing the likely outcome of the inputs, which accounts for the uncertainty and unpredictability of the real world. Running 10,000 instances, for example, gives the spread for a graph and removes chance so that the average is accurate.</t>
  </si>
  <si>
    <t>"=rand()*(max-min)+min" ---OR--- "=RANDBETWEEN(min,max)"</t>
  </si>
  <si>
    <t>Geometric Mean:</t>
  </si>
  <si>
    <t>A type of average similar to the arithmetic mean, but where values are multiplied instead of added. The nth root of the multiplied number is then found. The number of values in the sequence denotes the root – i.e. square root for two numbers, cubed root for three numbers etc. The nth root of the multiplied sum is the geometric mean. The greater the number of values in the sequence, the closer the result is to the arithmetic mean (regression to the mean).</t>
  </si>
  <si>
    <t>"=SQRT((min*max)+min)" ---OR--- "=GEOMEAN(A,B)"</t>
  </si>
  <si>
    <t>Lognorm Cumulative Distribution</t>
  </si>
  <si>
    <t>The cumulative distribution of the results being displayed, showing what percentage (%) of results have occurred by a certain point on the x-axis of the chart.</t>
  </si>
  <si>
    <t>Histogram graph from the data analysis pack, choose the 'cumulative curve' checkbox option</t>
  </si>
  <si>
    <t>Lognorm Distribution</t>
  </si>
  <si>
    <t>Curve of a graph representing the frequency with which the distribution occurs. This is like a standard distribution, but it is weighted (so the peak is to the left, representing likelihood is at the lower end) as the lognormal distribution takes account of geometric means, which eradicates extremes of samples from both ends. The area under the curve represents the probability density.
The formula is the random number generator for the probability, and the mean is the log of each input, divided by the number of inputs. The standard deviation is the range of the natural log of the inputs (log of the max input minus the log of the min input) divided by a full standard deviation (3.29 for a CI of 90%). If using a CI different to 90% for the inputs, then a different standard deviation value will be required.
If using PERT for the mean, the formula is the same, simply with the mean being the log of the max, plus the 4 x the log of the mode, plus the log of the min, all divided by 6.</t>
  </si>
  <si>
    <r>
      <rPr>
        <b/>
        <sz val="12"/>
        <color theme="1"/>
        <rFont val="Calibri"/>
        <family val="2"/>
        <scheme val="minor"/>
      </rPr>
      <t>Lognorm Formula</t>
    </r>
    <r>
      <rPr>
        <sz val="12"/>
        <color theme="1"/>
        <rFont val="Calibri"/>
        <family val="2"/>
        <scheme val="minor"/>
      </rPr>
      <t xml:space="preserve">: 
"=LOGNORM.INV(RAND(),(LN(max)+LN(min))/2,(LN(max)-LN(min))/3.29)"
Hubbard gives doesn't account for the idea of using a mode.
</t>
    </r>
    <r>
      <rPr>
        <b/>
        <sz val="12"/>
        <color theme="1"/>
        <rFont val="Calibri"/>
        <family val="2"/>
        <scheme val="minor"/>
      </rPr>
      <t>PERT Lognorm Formula</t>
    </r>
    <r>
      <rPr>
        <sz val="12"/>
        <color theme="1"/>
        <rFont val="Calibri"/>
        <family val="2"/>
        <scheme val="minor"/>
      </rPr>
      <t>:
"=LOGNORM.INV(RAND(),(LN(MIN)+(4*LN(MODE))+LN(MAX))/6,(LN(MAX)-LN(MIN))/3.29)"</t>
    </r>
  </si>
  <si>
    <t>Logs explained</t>
  </si>
  <si>
    <t>Natural logs use base 'e' whereas regular logs are to a power (typically 10). The natural log tends to be more applicable here.
In Excel: 
Functions "LN" and "LOGNORM.INV" use the natural log.
Function "LOG" is to the power (or base) of.
Consistency of the type of log (natural or to a power) is necessary, so the "LN" function needs to be used if the "LOGNORM.INV" function is used too.
All inputs to the formula should have an "LN" to them. This is because the inputs have a degree of uncertainty. LN is only applied to the inputs, but NOT to the divisors that apply to them.</t>
  </si>
  <si>
    <t>Loss Exceedance Curve</t>
  </si>
  <si>
    <t>A curve displaying the probability that loss will exceed a given amount within a period of time (usually annualised), starting with the most probable outcome. LECs can also be aggregated to provide additional detail. One axis (X) displays the range of losses, the other (Y), the probability of the loss occurring.</t>
  </si>
  <si>
    <t>"=COUNTIF(Raw Data of simulation,"&gt;"&amp;Bin)/COUNT(Raw data)"
A scatter graph using smooth curves should then be plotted, with the 'X' axis denoting the Bin value and the 'Y' axis denoting the LEC value determined from the formula above.</t>
  </si>
  <si>
    <t>Loss Exceedance Specific Figure</t>
  </si>
  <si>
    <t>This is the probability that a specific loss amount will exceed the given amount (e.g. 50% chance of the VaR being greater than £100).</t>
  </si>
  <si>
    <t>"=COUNTIF(raw data of simulation,"&gt;"&amp;input figure)/count raw data of simulation points"</t>
  </si>
  <si>
    <t>PERT Arithmetic mean</t>
  </si>
  <si>
    <t>The mean of inputs with a max, min, and mode.</t>
  </si>
  <si>
    <r>
      <t xml:space="preserve">"=(MIN+(4xmode)+max)/6"
</t>
    </r>
    <r>
      <rPr>
        <b/>
        <sz val="12"/>
        <color theme="1"/>
        <rFont val="Calibri"/>
        <family val="2"/>
        <scheme val="minor"/>
      </rPr>
      <t>OR</t>
    </r>
    <r>
      <rPr>
        <sz val="12"/>
        <color theme="1"/>
        <rFont val="Calibri"/>
        <family val="2"/>
        <scheme val="minor"/>
      </rPr>
      <t xml:space="preserve"> (for having a function that does not have to have a mode)
=IF(mode="",((min+(4*(AVERAGE(min,max)))+max)/6),((min+(4*mode)+max)/6))</t>
    </r>
  </si>
  <si>
    <t>PERT Continuous Distribution</t>
  </si>
  <si>
    <t>A distribution producing a curve similar to a beta distribution, which additionally takes account of the mode.</t>
  </si>
  <si>
    <r>
      <t xml:space="preserve">"=IF(MODE="",MEDIAN(MAX,MIN)+IF(RAND()&gt;0.5,RAND()*(MAX-MODE),RAND()*(MIN-MODE)),MODE+IF(RAND()&gt;0.5,RAND()*(MAX-MODE),RAND()*(MIN-MODE))"
</t>
    </r>
    <r>
      <rPr>
        <b/>
        <sz val="12"/>
        <color theme="1"/>
        <rFont val="Calibri"/>
        <family val="2"/>
        <scheme val="minor"/>
      </rPr>
      <t>OR</t>
    </r>
    <r>
      <rPr>
        <sz val="12"/>
        <color theme="1"/>
        <rFont val="Calibri"/>
        <family val="2"/>
        <scheme val="minor"/>
      </rPr>
      <t xml:space="preserve">
=IF(MODE="",MEDIAN(MAX,MIN),MODE)+IF(RAND()&gt;0.5,RAND()*(MAX-IF(MODE="",MEDIAN(MAX,MIN),MODE)),RAND()*(MIN-IF(MODE="",MEDIAN(MAX,MIN),MODE)))</t>
    </r>
  </si>
  <si>
    <t>PERT Lognorm.Inv (Beta Curve)</t>
  </si>
  <si>
    <t>A longnormal distribution using PERT.</t>
  </si>
  <si>
    <r>
      <t xml:space="preserve">"=LOGNORM.INV(RAND(),(LN(MIN)+(4*LN(MODE))+LN(MAX))/6,(LN(MAX)-LN(MIN))/3.29)"
</t>
    </r>
    <r>
      <rPr>
        <b/>
        <sz val="12"/>
        <color theme="1"/>
        <rFont val="Calibri"/>
        <family val="2"/>
        <scheme val="minor"/>
      </rPr>
      <t xml:space="preserve">OR </t>
    </r>
    <r>
      <rPr>
        <sz val="12"/>
        <color theme="1"/>
        <rFont val="Calibri"/>
        <family val="2"/>
        <scheme val="minor"/>
      </rPr>
      <t>(no mode)
"=IF(mode="",LOGNORM.INV(RAND(),(LN(max)+LN(min))/2,(LN(max)-LN(min))/3.29)",LOGNORM.INV(RAND(),((LN(IN)+(4*LN(MODE))+LN(MAX))/6),(LN(MAX)-LN(MIN))/3.29)</t>
    </r>
  </si>
  <si>
    <t>PERT Normal Distribution</t>
  </si>
  <si>
    <t>Bell curve for PERT: probability X pert mean X standard deviation.
You might want this, as negative loss events can occur (e.g. an incident means your systems crash for 48hrs - in this trading window a bank would have lost huge sums of money, but because they were unable to trade, the bank actually makes money from this incident).</t>
  </si>
  <si>
    <r>
      <rPr>
        <b/>
        <sz val="12"/>
        <color theme="1"/>
        <rFont val="Calibri"/>
        <family val="2"/>
        <scheme val="minor"/>
      </rPr>
      <t>5% tolerance above and below max &amp; min</t>
    </r>
    <r>
      <rPr>
        <sz val="12"/>
        <color theme="1"/>
        <rFont val="Calibri"/>
        <family val="2"/>
        <scheme val="minor"/>
      </rPr>
      <t xml:space="preserve">
"=NORM.INV function=(rand(),PERT MEAN,LN(STDEV(max,min))"
(no mode)
"=IF(mode="",NORM.INV function=(rand(),(MAX-MIN)/2,LN(STDEV(max,min)),NORM.INV function=(rand(),PERT MEAN,LN(STDEV(max,min))"
</t>
    </r>
    <r>
      <rPr>
        <b/>
        <sz val="12"/>
        <color theme="1"/>
        <rFont val="Calibri"/>
        <family val="2"/>
        <scheme val="minor"/>
      </rPr>
      <t xml:space="preserve">OR </t>
    </r>
    <r>
      <rPr>
        <sz val="12"/>
        <color theme="1"/>
        <rFont val="Calibri"/>
        <family val="2"/>
        <scheme val="minor"/>
      </rPr>
      <t>(within max and min)
"=NORM.INV function=(rand(),PERT MEAN,(LN(max)-LN(min))/3.29"
(no mode)
"=IF(mode="",NORM.INV function=(rand(),(MAX-MIN)/2,(LN(max)-LN(min))/3.29,NORM.INV function=(rand(),(MAX-MIN)/2,LN(STDEV(max,min)),NORM.INV function=(rand(),(MIN+(4*MODE)+MAX)/6,LN(STDEV(max,min))"</t>
    </r>
  </si>
  <si>
    <t>Standard Deviation</t>
  </si>
  <si>
    <t>The percentage of results and how far they lie from the arithmetic mean. Chebyshev's inequality dictates what percentage of results are captured by each standard deviation. As an example, with a 90% confidence interval (CI), 68.27% are captured by the first deviation, 95.45% by the second, 99.73% by the third, 99.994% by the fourth.</t>
  </si>
  <si>
    <t>"=SQRT(sum(number items in data set-mean(number items in data set))^2/number items in data set-1)"</t>
  </si>
  <si>
    <t>Variance</t>
  </si>
  <si>
    <t>The distance that a data-point will lie from the mean. It is calculated by determining the square of the standard deviation.</t>
  </si>
  <si>
    <t>"=SUM(number items in data set) - MEAN(number items in data set))^2/number items in data set-1)"</t>
  </si>
  <si>
    <t>NEW!!!</t>
  </si>
  <si>
    <t>LEC Curve</t>
  </si>
  <si>
    <t>"=COUNTIF(Raw Data of simulation,"&gt;"&amp;Bin)/COUNT(Raw data)"</t>
  </si>
  <si>
    <t>90% CI</t>
  </si>
  <si>
    <t>"{=INDEX(LEC Curve data),MATCH(MIN(ABS(LEC Curve data-0.9)),ABS(LEC Curve data-0.9),0))}</t>
  </si>
  <si>
    <t>An alternative way to understand this: A loss event must never be greater than what amount of money?</t>
  </si>
  <si>
    <t>"=Frequency(Simulation,Bin)"</t>
  </si>
  <si>
    <t>"=Corresponding frequency - the earlier one</t>
  </si>
  <si>
    <t>"=Frequency Up to here / count of simulations</t>
  </si>
  <si>
    <t>Frequency Up To</t>
  </si>
  <si>
    <t>Frequency</t>
  </si>
  <si>
    <t>Cumulative %</t>
  </si>
  <si>
    <r>
      <rPr>
        <b/>
        <sz val="30"/>
        <color rgb="FF9D2235"/>
        <rFont val="Calibri"/>
        <family val="2"/>
        <scheme val="minor"/>
      </rPr>
      <t>QIRA</t>
    </r>
    <r>
      <rPr>
        <sz val="30"/>
        <color theme="1"/>
        <rFont val="Calibri"/>
        <family val="2"/>
        <scheme val="minor"/>
      </rPr>
      <t xml:space="preserve"> </t>
    </r>
    <r>
      <rPr>
        <sz val="30"/>
        <color rgb="FF071D49"/>
        <rFont val="Calibri"/>
        <family val="2"/>
        <scheme val="minor"/>
      </rPr>
      <t>Communicate</t>
    </r>
  </si>
  <si>
    <t>Reporting information risk is a balance between what an audience wants to see and needs to see. This worksheet helps the practitioner present the results of the Monte Carlo simulation as a histogram using lognormal distribution that makes use of PERT, a loss exceedance curve (LEC) and a risk statement, which helps communicate the Value at Risk (VaR). The Initial Value At Risk Distribution histogram will tail off into infinity, so is presented here with approximately the final 5% of results being grouped together and labelled as 'Infinity'. Pages 40-45 of the ISF Quantitative Techniques in Information Risk Analysis Report help further explain this sheet.</t>
  </si>
  <si>
    <t>Inherent Value at Risk (VaR)</t>
  </si>
  <si>
    <t>Minimum</t>
  </si>
  <si>
    <t>Maximum</t>
  </si>
  <si>
    <t>Primary Loss</t>
  </si>
  <si>
    <t>Secondary Loss</t>
  </si>
  <si>
    <t>Loss (Total)</t>
  </si>
  <si>
    <t>INITIAL VALUE AT RISK DISTRIBUTION</t>
  </si>
  <si>
    <t>LOSS EXCEEDANCE CURVE</t>
  </si>
  <si>
    <t>RISK STATEMENT</t>
  </si>
  <si>
    <t>Loss Effect</t>
  </si>
  <si>
    <t>reduces the availability of information</t>
  </si>
  <si>
    <t>breaches the confidentiality of information</t>
  </si>
  <si>
    <t>Loss Scenario:</t>
  </si>
  <si>
    <t>breaches the confidentiality of information and compromises the integrity of information</t>
  </si>
  <si>
    <t>breaches the confidentiality of information and reduces the availability of information</t>
  </si>
  <si>
    <t>compromises the integrity of information</t>
  </si>
  <si>
    <t>Value at Risk:</t>
  </si>
  <si>
    <t>LOSS EXCEEDANCE CRITERIA</t>
  </si>
  <si>
    <t>The variables below should be modified to reflect the organisation's acceptable loss.</t>
  </si>
  <si>
    <t>Probability of Exceeding</t>
  </si>
  <si>
    <t>Probability Exceeded in</t>
  </si>
  <si>
    <t>Acceptable Risk Tolerance</t>
  </si>
  <si>
    <t>Acceptable Loss</t>
  </si>
  <si>
    <t>Probability Exceeded In</t>
  </si>
  <si>
    <t>Customer</t>
  </si>
  <si>
    <t xml:space="preserve"> </t>
  </si>
  <si>
    <t>Return on security investment (ROSI)</t>
  </si>
  <si>
    <t>Also known as return on control, this determines the net return on an additional measure invested in</t>
  </si>
  <si>
    <r>
      <t xml:space="preserve">"=(amount saved/cost of control)-1
</t>
    </r>
    <r>
      <rPr>
        <b/>
        <sz val="12"/>
        <color theme="1"/>
        <rFont val="Calibri"/>
        <family val="2"/>
        <scheme val="minor"/>
      </rPr>
      <t xml:space="preserve">OR
</t>
    </r>
    <r>
      <rPr>
        <sz val="12"/>
        <color theme="1"/>
        <rFont val="Calibri"/>
        <family val="2"/>
        <scheme val="minor"/>
      </rPr>
      <t>"=(amount saved-cost of control)/cost of control</t>
    </r>
  </si>
  <si>
    <t>"=COUNTIF(Raw Data of treated simulation,"&gt;"&amp;Bin)/COUNT(Raw data of treated simulation)"</t>
  </si>
  <si>
    <t>Please select</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</si>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</sst>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quot;£&quot;* #,##0.00_-;_-&quot;£&quot;* &quot;-&quot;??_-;_-@_-"/>
    <numFmt numFmtId="165" formatCode="_(&quot;£&quot;* #,##0.00_);_(&quot;£&quot;* \(#,##0.00\);_(&quot;£&quot;* &quot;-&quot;??_);_(@_)"/>
    <numFmt numFmtId="166" formatCode="&quot;£&quot;#,##0.00"/>
    <numFmt numFmtId="167" formatCode="\£0.00"/>
    <numFmt numFmtId="168" formatCode="_-[$£-809]* #,##0.00_-;\-[$£-809]* #,##0.00_-;_-[$£-809]* &quot;-&quot;??_-;_-@_-"/>
    <numFmt numFmtId="169" formatCode="&quot;£&quot;#,##0"/>
  </numFmts>
  <fonts count="41"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2"/>
      <color theme="1"/>
      <name val="Calibri"/>
      <family val="2"/>
      <scheme val="minor"/>
    </font>
    <font>
      <b/>
      <sz val="11"/>
      <color theme="1"/>
      <name val="Calibri"/>
      <family val="2"/>
      <scheme val="minor"/>
    </font>
    <font>
      <sz val="12"/>
      <color rgb="FF000000"/>
      <name val="Calibri"/>
      <family val="2"/>
      <scheme val="minor"/>
    </font>
    <font>
      <b/>
      <sz val="11"/>
      <color theme="0"/>
      <name val="Calibri"/>
      <family val="2"/>
      <scheme val="minor"/>
    </font>
    <font>
      <b/>
      <sz val="14"/>
      <color theme="1"/>
      <name val="Calibri"/>
      <family val="2"/>
      <scheme val="minor"/>
    </font>
    <font>
      <b/>
      <sz val="20"/>
      <color theme="1"/>
      <name val="Calibri"/>
      <family val="2"/>
      <scheme val="minor"/>
    </font>
    <font>
      <b/>
      <sz val="18"/>
      <color theme="1"/>
      <name val="Calibri"/>
      <family val="2"/>
      <scheme val="minor"/>
    </font>
    <font>
      <sz val="18"/>
      <color theme="1"/>
      <name val="Calibri"/>
      <family val="2"/>
      <scheme val="minor"/>
    </font>
    <font>
      <b/>
      <sz val="16"/>
      <color theme="1"/>
      <name val="Calibri"/>
      <family val="2"/>
      <scheme val="minor"/>
    </font>
    <font>
      <sz val="16"/>
      <color theme="1"/>
      <name val="Calibri"/>
      <family val="2"/>
      <scheme val="minor"/>
    </font>
    <font>
      <sz val="10"/>
      <color theme="1"/>
      <name val="Calibri"/>
      <family val="2"/>
      <scheme val="minor"/>
    </font>
    <font>
      <b/>
      <sz val="20"/>
      <color theme="0"/>
      <name val="Calibri"/>
      <family val="2"/>
      <scheme val="minor"/>
    </font>
    <font>
      <i/>
      <sz val="11"/>
      <color theme="1"/>
      <name val="Calibri"/>
      <family val="2"/>
      <scheme val="minor"/>
    </font>
    <font>
      <b/>
      <sz val="12"/>
      <color rgb="FFC00000"/>
      <name val="Calibri"/>
      <family val="2"/>
      <scheme val="minor"/>
    </font>
    <font>
      <b/>
      <sz val="24"/>
      <color rgb="FF071D49"/>
      <name val="Calibri"/>
      <family val="2"/>
      <scheme val="minor"/>
    </font>
    <font>
      <b/>
      <sz val="13"/>
      <color rgb="FF071D49"/>
      <name val="Calibri"/>
      <family val="2"/>
      <scheme val="minor"/>
    </font>
    <font>
      <sz val="11"/>
      <color theme="1"/>
      <name val="Calibri"/>
      <family val="2"/>
      <scheme val="minor"/>
    </font>
    <font>
      <b/>
      <sz val="16"/>
      <color rgb="FFFFA300"/>
      <name val="Calibri"/>
      <family val="2"/>
      <scheme val="minor"/>
    </font>
    <font>
      <sz val="10"/>
      <name val="Arial"/>
      <family val="2"/>
    </font>
    <font>
      <sz val="10"/>
      <color theme="1"/>
      <name val="Arial"/>
      <family val="2"/>
    </font>
    <font>
      <sz val="11"/>
      <name val="Calibri"/>
      <family val="2"/>
      <scheme val="minor"/>
    </font>
    <font>
      <b/>
      <sz val="14"/>
      <color rgb="FF002060"/>
      <name val="Calibri"/>
      <family val="2"/>
      <scheme val="minor"/>
    </font>
    <font>
      <b/>
      <sz val="12"/>
      <color theme="0"/>
      <name val="Calibri"/>
      <family val="2"/>
      <scheme val="minor"/>
    </font>
    <font>
      <b/>
      <sz val="10"/>
      <color theme="1"/>
      <name val="Calibri"/>
      <family val="2"/>
      <scheme val="minor"/>
    </font>
    <font>
      <b/>
      <sz val="14"/>
      <color rgb="FF4AAD33"/>
      <name val="Calibri"/>
      <family val="2"/>
      <scheme val="minor"/>
    </font>
    <font>
      <sz val="12"/>
      <name val="Calibri"/>
      <family val="2"/>
      <scheme val="minor"/>
    </font>
    <font>
      <i/>
      <sz val="11"/>
      <color rgb="FF7F7F7F"/>
      <name val="Calibri"/>
      <family val="2"/>
      <scheme val="minor"/>
    </font>
    <font>
      <b/>
      <sz val="30"/>
      <color rgb="FFA90A2E"/>
      <name val="Calibri"/>
      <family val="2"/>
      <scheme val="minor"/>
    </font>
    <font>
      <b/>
      <sz val="30"/>
      <color rgb="FF071D49"/>
      <name val="Calibri"/>
      <family val="2"/>
      <scheme val="minor"/>
    </font>
    <font>
      <sz val="30"/>
      <color rgb="FF071D49"/>
      <name val="Calibri"/>
      <family val="2"/>
      <scheme val="minor"/>
    </font>
    <font>
      <b/>
      <sz val="30"/>
      <color rgb="FF9D2235"/>
      <name val="Calibri"/>
      <family val="2"/>
      <scheme val="minor"/>
    </font>
    <font>
      <sz val="30"/>
      <color theme="1"/>
      <name val="Calibri"/>
      <family val="2"/>
      <scheme val="minor"/>
    </font>
    <font>
      <i/>
      <sz val="11"/>
      <color theme="0" tint="-0.34998626667073579"/>
      <name val="Calibri"/>
      <family val="2"/>
      <scheme val="minor"/>
    </font>
    <font>
      <b/>
      <sz val="12"/>
      <color rgb="FF071D49"/>
      <name val="Calibri"/>
      <family val="2"/>
      <scheme val="minor"/>
    </font>
    <font>
      <i/>
      <sz val="11"/>
      <color theme="0" tint="-0.499984740745262"/>
      <name val="Calibri"/>
      <family val="2"/>
      <scheme val="minor"/>
    </font>
    <font>
      <sz val="9"/>
      <color theme="1"/>
      <name val="Calibri"/>
      <family val="2"/>
      <scheme val="minor"/>
    </font>
  </fonts>
  <fills count="16">
    <fill>
      <patternFill patternType="none"/>
    </fill>
    <fill>
      <patternFill patternType="gray125"/>
    </fill>
    <fill>
      <patternFill patternType="solid">
        <fgColor rgb="FFA5A5A5"/>
      </patternFill>
    </fill>
    <fill>
      <patternFill patternType="solid">
        <fgColor theme="0" tint="-0.14999847407452621"/>
        <bgColor indexed="64"/>
      </patternFill>
    </fill>
    <fill>
      <patternFill patternType="solid">
        <fgColor rgb="FFC00000"/>
        <bgColor indexed="64"/>
      </patternFill>
    </fill>
    <fill>
      <patternFill patternType="solid">
        <fgColor rgb="FF0070C0"/>
        <bgColor indexed="64"/>
      </patternFill>
    </fill>
    <fill>
      <patternFill patternType="solid">
        <fgColor theme="9"/>
        <bgColor indexed="64"/>
      </patternFill>
    </fill>
    <fill>
      <patternFill patternType="solid">
        <fgColor theme="1"/>
        <bgColor indexed="64"/>
      </patternFill>
    </fill>
    <fill>
      <patternFill patternType="solid">
        <fgColor rgb="FFD679FF"/>
        <bgColor indexed="64"/>
      </patternFill>
    </fill>
    <fill>
      <patternFill patternType="solid">
        <fgColor rgb="FF9D2235"/>
        <bgColor indexed="64"/>
      </patternFill>
    </fill>
    <fill>
      <patternFill patternType="solid">
        <fgColor rgb="FFEBD3D7"/>
        <bgColor indexed="64"/>
      </patternFill>
    </fill>
    <fill>
      <patternFill patternType="solid">
        <fgColor theme="0" tint="-4.9989318521683403E-2"/>
        <bgColor indexed="64"/>
      </patternFill>
    </fill>
    <fill>
      <patternFill patternType="solid">
        <fgColor theme="0"/>
        <bgColor indexed="64"/>
      </patternFill>
    </fill>
    <fill>
      <patternFill patternType="solid">
        <fgColor rgb="FFD1EDD1"/>
        <bgColor indexed="64"/>
      </patternFill>
    </fill>
    <fill>
      <patternFill patternType="solid">
        <fgColor rgb="FF071D49"/>
        <bgColor indexed="64"/>
      </patternFill>
    </fill>
    <fill>
      <patternFill patternType="solid">
        <fgColor rgb="FFA90A2E"/>
        <bgColor indexed="64"/>
      </patternFill>
    </fill>
  </fills>
  <borders count="50">
    <border>
      <left/>
      <right/>
      <top/>
      <bottom/>
      <diagonal/>
    </border>
    <border>
      <left style="double">
        <color rgb="FF3F3F3F"/>
      </left>
      <right style="double">
        <color rgb="FF3F3F3F"/>
      </right>
      <top style="double">
        <color rgb="FF3F3F3F"/>
      </top>
      <bottom style="double">
        <color rgb="FF3F3F3F"/>
      </bottom>
      <diagonal/>
    </border>
    <border>
      <left style="thin">
        <color auto="1"/>
      </left>
      <right/>
      <top/>
      <bottom/>
      <diagonal/>
    </border>
    <border>
      <left/>
      <right/>
      <top style="thin">
        <color indexed="64"/>
      </top>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bottom style="medium">
        <color indexed="64"/>
      </bottom>
      <diagonal/>
    </border>
    <border>
      <left/>
      <right/>
      <top style="medium">
        <color indexed="64"/>
      </top>
      <bottom style="thin">
        <color indexed="64"/>
      </bottom>
      <diagonal/>
    </border>
    <border>
      <left style="thin">
        <color theme="0"/>
      </left>
      <right/>
      <top style="thick">
        <color rgb="FF4AAD33"/>
      </top>
      <bottom style="thin">
        <color theme="0"/>
      </bottom>
      <diagonal/>
    </border>
    <border>
      <left style="thin">
        <color theme="0" tint="-4.9989318521683403E-2"/>
      </left>
      <right style="thin">
        <color theme="0"/>
      </right>
      <top style="thin">
        <color theme="0"/>
      </top>
      <bottom style="thin">
        <color theme="0"/>
      </bottom>
      <diagonal/>
    </border>
    <border>
      <left style="thin">
        <color theme="0"/>
      </left>
      <right style="thin">
        <color theme="0" tint="-4.9989318521683403E-2"/>
      </right>
      <top style="thin">
        <color theme="0"/>
      </top>
      <bottom style="thin">
        <color theme="0"/>
      </bottom>
      <diagonal/>
    </border>
    <border>
      <left style="thin">
        <color rgb="FF098136"/>
      </left>
      <right style="thin">
        <color rgb="FF098136"/>
      </right>
      <top style="thin">
        <color rgb="FF098136"/>
      </top>
      <bottom style="thin">
        <color rgb="FF098136"/>
      </bottom>
      <diagonal/>
    </border>
    <border>
      <left/>
      <right/>
      <top style="thin">
        <color theme="0"/>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4.9989318521683403E-2"/>
      </left>
      <right style="thin">
        <color theme="0"/>
      </right>
      <top/>
      <bottom/>
      <diagonal/>
    </border>
    <border>
      <left style="thin">
        <color theme="0"/>
      </left>
      <right/>
      <top style="thin">
        <color theme="0"/>
      </top>
      <bottom style="thin">
        <color theme="0" tint="-0.14996795556505021"/>
      </bottom>
      <diagonal/>
    </border>
    <border>
      <left/>
      <right/>
      <top style="thin">
        <color theme="0"/>
      </top>
      <bottom style="thin">
        <color theme="0" tint="-0.14996795556505021"/>
      </bottom>
      <diagonal/>
    </border>
    <border>
      <left style="thin">
        <color theme="0" tint="-4.9989318521683403E-2"/>
      </left>
      <right style="thin">
        <color theme="0" tint="-4.9989318521683403E-2"/>
      </right>
      <top style="thin">
        <color theme="0"/>
      </top>
      <bottom style="thin">
        <color theme="0" tint="-4.9989318521683403E-2"/>
      </bottom>
      <diagonal/>
    </border>
    <border>
      <left style="thin">
        <color theme="0" tint="-4.9989318521683403E-2"/>
      </left>
      <right style="thin">
        <color theme="0"/>
      </right>
      <top style="thin">
        <color theme="0"/>
      </top>
      <bottom style="thin">
        <color theme="0" tint="-4.9989318521683403E-2"/>
      </bottom>
      <diagonal/>
    </border>
    <border>
      <left/>
      <right/>
      <top style="thin">
        <color theme="0"/>
      </top>
      <bottom style="thin">
        <color theme="0" tint="-4.9989318521683403E-2"/>
      </bottom>
      <diagonal/>
    </border>
    <border>
      <left style="thin">
        <color theme="0"/>
      </left>
      <right style="thin">
        <color theme="0" tint="-4.9989318521683403E-2"/>
      </right>
      <top style="thin">
        <color theme="0"/>
      </top>
      <bottom style="thin">
        <color theme="0" tint="-4.9989318521683403E-2"/>
      </bottom>
      <diagonal/>
    </border>
    <border>
      <left style="thin">
        <color theme="0"/>
      </left>
      <right/>
      <top/>
      <bottom style="thin">
        <color theme="0" tint="-0.14996795556505021"/>
      </bottom>
      <diagonal/>
    </border>
    <border>
      <left/>
      <right style="thin">
        <color theme="0"/>
      </right>
      <top/>
      <bottom style="thin">
        <color theme="0" tint="-0.14996795556505021"/>
      </bottom>
      <diagonal/>
    </border>
    <border>
      <left style="thin">
        <color theme="0"/>
      </left>
      <right style="thin">
        <color theme="0" tint="-4.9989318521683403E-2"/>
      </right>
      <top/>
      <bottom style="thin">
        <color theme="0"/>
      </bottom>
      <diagonal/>
    </border>
    <border>
      <left style="thin">
        <color theme="0" tint="-4.9989318521683403E-2"/>
      </left>
      <right style="thin">
        <color theme="0"/>
      </right>
      <top/>
      <bottom style="thin">
        <color theme="0"/>
      </bottom>
      <diagonal/>
    </border>
    <border>
      <left style="thin">
        <color indexed="9"/>
      </left>
      <right style="thin">
        <color indexed="9"/>
      </right>
      <top style="thin">
        <color indexed="9"/>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theme="0"/>
      </right>
      <top style="thin">
        <color theme="0"/>
      </top>
      <bottom style="thin">
        <color theme="0" tint="-0.14996795556505021"/>
      </bottom>
      <diagonal/>
    </border>
    <border>
      <left style="thin">
        <color theme="0"/>
      </left>
      <right/>
      <top/>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theme="0"/>
      </top>
      <bottom/>
      <diagonal/>
    </border>
    <border>
      <left/>
      <right/>
      <top style="thin">
        <color theme="0" tint="-0.14996795556505021"/>
      </top>
      <bottom style="thin">
        <color theme="0" tint="-0.14996795556505021"/>
      </bottom>
      <diagonal/>
    </border>
    <border>
      <left/>
      <right style="thin">
        <color theme="0" tint="-0.14993743705557422"/>
      </right>
      <top style="thin">
        <color theme="0" tint="-0.14996795556505021"/>
      </top>
      <bottom style="thin">
        <color theme="0" tint="-0.14996795556505021"/>
      </bottom>
      <diagonal/>
    </border>
    <border>
      <left/>
      <right style="thin">
        <color theme="0" tint="-4.9989318521683403E-2"/>
      </right>
      <top style="thin">
        <color theme="0"/>
      </top>
      <bottom style="thin">
        <color theme="0"/>
      </bottom>
      <diagonal/>
    </border>
    <border>
      <left style="thin">
        <color theme="0" tint="-4.9989318521683403E-2"/>
      </left>
      <right/>
      <top style="thin">
        <color theme="0"/>
      </top>
      <bottom style="thin">
        <color theme="0"/>
      </bottom>
      <diagonal/>
    </border>
    <border>
      <left style="thin">
        <color theme="0"/>
      </left>
      <right/>
      <top style="thin">
        <color theme="0"/>
      </top>
      <bottom style="thin">
        <color theme="0" tint="-4.9989318521683403E-2"/>
      </bottom>
      <diagonal/>
    </border>
    <border>
      <left/>
      <right style="thin">
        <color theme="0" tint="-4.9989318521683403E-2"/>
      </right>
      <top style="thin">
        <color theme="0"/>
      </top>
      <bottom style="thin">
        <color theme="0" tint="-4.9989318521683403E-2"/>
      </bottom>
      <diagonal/>
    </border>
    <border>
      <left style="thin">
        <color theme="0" tint="-4.9989318521683403E-2"/>
      </left>
      <right/>
      <top style="thin">
        <color theme="0"/>
      </top>
      <bottom style="thin">
        <color theme="0" tint="-4.9989318521683403E-2"/>
      </bottom>
      <diagonal/>
    </border>
  </borders>
  <cellStyleXfs count="23">
    <xf numFmtId="0" fontId="0" fillId="0" borderId="0"/>
    <xf numFmtId="165" fontId="4" fillId="0" borderId="0" applyFont="0" applyFill="0" applyBorder="0" applyAlignment="0" applyProtection="0"/>
    <xf numFmtId="9" fontId="4" fillId="0" borderId="0" applyFont="0" applyFill="0" applyBorder="0" applyAlignment="0" applyProtection="0"/>
    <xf numFmtId="0" fontId="3" fillId="0" borderId="0"/>
    <xf numFmtId="0" fontId="8" fillId="2" borderId="1" applyNumberFormat="0" applyAlignment="0" applyProtection="0"/>
    <xf numFmtId="9" fontId="3" fillId="0" borderId="0" applyFont="0" applyFill="0" applyBorder="0" applyAlignment="0" applyProtection="0"/>
    <xf numFmtId="165" fontId="3" fillId="0" borderId="0" applyFont="0" applyFill="0" applyBorder="0" applyAlignment="0" applyProtection="0"/>
    <xf numFmtId="0" fontId="21" fillId="0" borderId="0"/>
    <xf numFmtId="0" fontId="22" fillId="0" borderId="0">
      <alignment horizontal="left"/>
    </xf>
    <xf numFmtId="0" fontId="23" fillId="0" borderId="0"/>
    <xf numFmtId="0" fontId="24" fillId="0" borderId="0"/>
    <xf numFmtId="0" fontId="21" fillId="0" borderId="5"/>
    <xf numFmtId="0" fontId="5" fillId="13" borderId="14">
      <alignment horizontal="left" vertical="center" wrapText="1" indent="1"/>
    </xf>
    <xf numFmtId="0" fontId="28" fillId="0" borderId="17">
      <alignment horizontal="left" vertical="center" wrapText="1" indent="1"/>
    </xf>
    <xf numFmtId="0" fontId="15" fillId="0" borderId="17">
      <alignment horizontal="left" vertical="center" wrapText="1" indent="1"/>
      <protection locked="0"/>
    </xf>
    <xf numFmtId="0" fontId="29" fillId="12" borderId="0">
      <alignment horizontal="left" vertical="top" wrapText="1" indent="1"/>
    </xf>
    <xf numFmtId="0" fontId="23" fillId="0" borderId="0"/>
    <xf numFmtId="164" fontId="21" fillId="0" borderId="0" applyFont="0" applyFill="0" applyBorder="0" applyAlignment="0" applyProtection="0"/>
    <xf numFmtId="9" fontId="21" fillId="0" borderId="0" applyFont="0" applyFill="0" applyBorder="0" applyAlignment="0" applyProtection="0"/>
    <xf numFmtId="0" fontId="31" fillId="0" borderId="0" applyNumberFormat="0" applyFill="0" applyBorder="0" applyAlignment="0" applyProtection="0"/>
    <xf numFmtId="0" fontId="23" fillId="0" borderId="0"/>
    <xf numFmtId="165" fontId="2" fillId="0" borderId="0" applyFont="0" applyFill="0" applyBorder="0" applyAlignment="0" applyProtection="0"/>
    <xf numFmtId="9" fontId="2" fillId="0" borderId="0" applyFont="0" applyFill="0" applyBorder="0" applyAlignment="0" applyProtection="0"/>
  </cellStyleXfs>
  <cellXfs count="298">
    <xf numFmtId="0" fontId="0" fillId="0" borderId="0" xfId="0"/>
    <xf numFmtId="0" fontId="0" fillId="3" borderId="0" xfId="0" applyFill="1"/>
    <xf numFmtId="0" fontId="0" fillId="0" borderId="4" xfId="0" applyBorder="1"/>
    <xf numFmtId="0" fontId="0" fillId="0" borderId="2" xfId="0" applyBorder="1"/>
    <xf numFmtId="0" fontId="6" fillId="0" borderId="2" xfId="0" applyFont="1" applyBorder="1"/>
    <xf numFmtId="0" fontId="6" fillId="0" borderId="0" xfId="0" applyFont="1"/>
    <xf numFmtId="0" fontId="0" fillId="3" borderId="4" xfId="0" applyFill="1" applyBorder="1"/>
    <xf numFmtId="0" fontId="0" fillId="4" borderId="0" xfId="0" applyFill="1"/>
    <xf numFmtId="0" fontId="0" fillId="4" borderId="3" xfId="0" applyFill="1" applyBorder="1"/>
    <xf numFmtId="0" fontId="0" fillId="5" borderId="0" xfId="0" applyFill="1"/>
    <xf numFmtId="0" fontId="6" fillId="5" borderId="0" xfId="0" applyFont="1" applyFill="1"/>
    <xf numFmtId="9" fontId="0" fillId="0" borderId="0" xfId="2" applyFont="1"/>
    <xf numFmtId="0" fontId="0" fillId="3" borderId="2" xfId="0" applyFill="1" applyBorder="1"/>
    <xf numFmtId="9" fontId="0" fillId="4" borderId="0" xfId="2" applyFont="1" applyFill="1"/>
    <xf numFmtId="0" fontId="0" fillId="0" borderId="2" xfId="2" applyNumberFormat="1" applyFont="1" applyBorder="1"/>
    <xf numFmtId="0" fontId="0" fillId="0" borderId="0" xfId="2" applyNumberFormat="1" applyFont="1" applyBorder="1"/>
    <xf numFmtId="0" fontId="0" fillId="7" borderId="0" xfId="0" applyFill="1"/>
    <xf numFmtId="0" fontId="8" fillId="7" borderId="0" xfId="0" applyFont="1" applyFill="1"/>
    <xf numFmtId="0" fontId="6" fillId="0" borderId="4" xfId="0" applyFont="1" applyBorder="1"/>
    <xf numFmtId="0" fontId="6" fillId="0" borderId="2" xfId="2" applyNumberFormat="1" applyFont="1" applyBorder="1"/>
    <xf numFmtId="0" fontId="6" fillId="0" borderId="0" xfId="2" applyNumberFormat="1" applyFont="1" applyBorder="1"/>
    <xf numFmtId="0" fontId="6" fillId="0" borderId="4" xfId="2" applyNumberFormat="1" applyFont="1" applyBorder="1"/>
    <xf numFmtId="0" fontId="0" fillId="0" borderId="0" xfId="2" applyNumberFormat="1" applyFont="1" applyFill="1" applyBorder="1" applyAlignment="1" applyProtection="1"/>
    <xf numFmtId="0" fontId="0" fillId="0" borderId="0" xfId="1" applyNumberFormat="1" applyFont="1" applyBorder="1"/>
    <xf numFmtId="0" fontId="17" fillId="0" borderId="0" xfId="0" applyFont="1" applyAlignment="1">
      <alignment horizontal="center"/>
    </xf>
    <xf numFmtId="0" fontId="0" fillId="9" borderId="0" xfId="0" applyFill="1"/>
    <xf numFmtId="0" fontId="21" fillId="0" borderId="0" xfId="7"/>
    <xf numFmtId="0" fontId="21" fillId="0" borderId="5" xfId="11"/>
    <xf numFmtId="0" fontId="0" fillId="0" borderId="6" xfId="2" applyNumberFormat="1" applyFont="1" applyFill="1" applyBorder="1" applyAlignment="1" applyProtection="1">
      <alignment horizontal="left" indent="1"/>
    </xf>
    <xf numFmtId="0" fontId="0" fillId="0" borderId="16" xfId="10" applyFont="1" applyBorder="1" applyAlignment="1" applyProtection="1">
      <alignment horizontal="left" vertical="top" wrapText="1" indent="1"/>
      <protection locked="0"/>
    </xf>
    <xf numFmtId="0" fontId="0" fillId="11" borderId="16" xfId="14" applyFont="1" applyFill="1" applyBorder="1" applyAlignment="1">
      <alignment horizontal="left" vertical="top" wrapText="1" indent="1"/>
      <protection locked="0"/>
    </xf>
    <xf numFmtId="14" fontId="0" fillId="11" borderId="16" xfId="14" applyNumberFormat="1" applyFont="1" applyFill="1" applyBorder="1" applyAlignment="1">
      <alignment horizontal="left" vertical="top" wrapText="1" indent="1"/>
      <protection locked="0"/>
    </xf>
    <xf numFmtId="14" fontId="0" fillId="0" borderId="16" xfId="10" applyNumberFormat="1" applyFont="1" applyBorder="1" applyAlignment="1" applyProtection="1">
      <alignment horizontal="left" vertical="top" wrapText="1" indent="1"/>
      <protection locked="0"/>
    </xf>
    <xf numFmtId="9" fontId="0" fillId="11" borderId="16" xfId="2" applyFont="1" applyFill="1" applyBorder="1" applyAlignment="1" applyProtection="1">
      <alignment horizontal="left" vertical="top" wrapText="1" indent="1"/>
      <protection locked="0"/>
    </xf>
    <xf numFmtId="9" fontId="0" fillId="0" borderId="16" xfId="2" applyFont="1" applyBorder="1" applyAlignment="1" applyProtection="1">
      <alignment horizontal="left" vertical="top" wrapText="1" indent="1"/>
      <protection locked="0"/>
    </xf>
    <xf numFmtId="0" fontId="6" fillId="4" borderId="0" xfId="0" applyFont="1" applyFill="1"/>
    <xf numFmtId="0" fontId="17" fillId="0" borderId="19" xfId="0" applyFont="1" applyBorder="1" applyAlignment="1">
      <alignment horizontal="centerContinuous"/>
    </xf>
    <xf numFmtId="0" fontId="17" fillId="0" borderId="20" xfId="0" applyFont="1" applyBorder="1" applyAlignment="1">
      <alignment horizontal="centerContinuous"/>
    </xf>
    <xf numFmtId="0" fontId="0" fillId="0" borderId="21" xfId="0" applyBorder="1"/>
    <xf numFmtId="0" fontId="21" fillId="14" borderId="0" xfId="7" applyFill="1"/>
    <xf numFmtId="0" fontId="21" fillId="9" borderId="0" xfId="7" applyFill="1"/>
    <xf numFmtId="0" fontId="21" fillId="10" borderId="0" xfId="7" applyFill="1"/>
    <xf numFmtId="168" fontId="0" fillId="0" borderId="16" xfId="10" applyNumberFormat="1" applyFont="1" applyBorder="1" applyAlignment="1" applyProtection="1">
      <alignment horizontal="left" vertical="top" wrapText="1" indent="1"/>
      <protection locked="0"/>
    </xf>
    <xf numFmtId="168" fontId="0" fillId="11" borderId="16" xfId="14" applyNumberFormat="1" applyFont="1" applyFill="1" applyBorder="1" applyAlignment="1">
      <alignment horizontal="left" vertical="top" wrapText="1" indent="1"/>
      <protection locked="0"/>
    </xf>
    <xf numFmtId="0" fontId="0" fillId="14" borderId="0" xfId="0" applyFill="1"/>
    <xf numFmtId="0" fontId="0" fillId="0" borderId="0" xfId="0" applyAlignment="1">
      <alignment horizontal="right"/>
    </xf>
    <xf numFmtId="0" fontId="19" fillId="0" borderId="0" xfId="0" applyFont="1" applyAlignment="1">
      <alignment horizontal="left" vertical="center" indent="9"/>
    </xf>
    <xf numFmtId="0" fontId="0" fillId="10" borderId="0" xfId="0" applyFill="1"/>
    <xf numFmtId="0" fontId="20" fillId="0" borderId="0" xfId="0" applyFont="1" applyAlignment="1">
      <alignment horizontal="left" indent="1"/>
    </xf>
    <xf numFmtId="0" fontId="20" fillId="9" borderId="0" xfId="0" applyFont="1" applyFill="1" applyAlignment="1">
      <alignment horizontal="left" indent="1"/>
    </xf>
    <xf numFmtId="0" fontId="6" fillId="0" borderId="15" xfId="10" applyFont="1" applyBorder="1" applyAlignment="1">
      <alignment horizontal="left" vertical="top" wrapText="1" indent="1"/>
    </xf>
    <xf numFmtId="0" fontId="0" fillId="0" borderId="16" xfId="10" applyFont="1" applyBorder="1" applyAlignment="1">
      <alignment horizontal="left" vertical="top" wrapText="1" indent="1"/>
    </xf>
    <xf numFmtId="0" fontId="6" fillId="11" borderId="15" xfId="13" applyFont="1" applyFill="1" applyBorder="1" applyAlignment="1">
      <alignment horizontal="left" vertical="top" wrapText="1" indent="1"/>
    </xf>
    <xf numFmtId="0" fontId="0" fillId="11" borderId="16" xfId="14" applyFont="1" applyFill="1" applyBorder="1" applyAlignment="1" applyProtection="1">
      <alignment horizontal="left" vertical="top" wrapText="1" indent="1"/>
    </xf>
    <xf numFmtId="0" fontId="25" fillId="9" borderId="0" xfId="16" applyFont="1" applyFill="1" applyAlignment="1">
      <alignment horizontal="left" vertical="top" wrapText="1"/>
    </xf>
    <xf numFmtId="0" fontId="26" fillId="12" borderId="0" xfId="10" applyFont="1" applyFill="1" applyAlignment="1">
      <alignment horizontal="left" vertical="center" wrapText="1" indent="1"/>
    </xf>
    <xf numFmtId="0" fontId="26" fillId="9" borderId="0" xfId="10" applyFont="1" applyFill="1" applyAlignment="1">
      <alignment horizontal="left" vertical="center" indent="1"/>
    </xf>
    <xf numFmtId="0" fontId="26" fillId="9" borderId="0" xfId="10" applyFont="1" applyFill="1" applyAlignment="1">
      <alignment horizontal="left" vertical="center" wrapText="1" indent="1"/>
    </xf>
    <xf numFmtId="0" fontId="21" fillId="0" borderId="18" xfId="10" applyFont="1" applyBorder="1" applyAlignment="1">
      <alignment horizontal="left" vertical="top" wrapText="1" indent="1"/>
    </xf>
    <xf numFmtId="0" fontId="0" fillId="11" borderId="18" xfId="13" applyFont="1" applyFill="1" applyBorder="1" applyAlignment="1">
      <alignment horizontal="left" vertical="top" wrapText="1" indent="1"/>
    </xf>
    <xf numFmtId="0" fontId="0" fillId="0" borderId="18" xfId="10" applyFont="1" applyBorder="1" applyAlignment="1">
      <alignment horizontal="left" vertical="top" wrapText="1" indent="1"/>
    </xf>
    <xf numFmtId="0" fontId="6" fillId="0" borderId="0" xfId="10" applyFont="1" applyAlignment="1">
      <alignment horizontal="left" vertical="top" wrapText="1" indent="1"/>
    </xf>
    <xf numFmtId="0" fontId="0" fillId="0" borderId="0" xfId="10" applyFont="1" applyAlignment="1">
      <alignment horizontal="left" vertical="top" wrapText="1" indent="1"/>
    </xf>
    <xf numFmtId="0" fontId="0" fillId="11" borderId="18" xfId="13" applyFont="1" applyFill="1" applyBorder="1" applyAlignment="1">
      <alignment horizontal="left" vertical="top" wrapText="1" indent="2"/>
    </xf>
    <xf numFmtId="0" fontId="0" fillId="0" borderId="18" xfId="10" applyFont="1" applyBorder="1" applyAlignment="1">
      <alignment horizontal="left" vertical="top" wrapText="1" indent="2"/>
    </xf>
    <xf numFmtId="0" fontId="21" fillId="0" borderId="18" xfId="10" applyFont="1" applyBorder="1" applyAlignment="1">
      <alignment horizontal="left" vertical="top" wrapText="1" indent="2"/>
    </xf>
    <xf numFmtId="0" fontId="6" fillId="0" borderId="22" xfId="10" applyFont="1" applyBorder="1" applyAlignment="1">
      <alignment horizontal="left" vertical="top" wrapText="1" indent="1"/>
    </xf>
    <xf numFmtId="0" fontId="0" fillId="0" borderId="0" xfId="0" applyAlignment="1">
      <alignment horizontal="left" wrapText="1" indent="1"/>
    </xf>
    <xf numFmtId="0" fontId="0" fillId="0" borderId="0" xfId="0" applyProtection="1">
      <protection locked="0"/>
    </xf>
    <xf numFmtId="0" fontId="6" fillId="0" borderId="26" xfId="10" applyFont="1" applyBorder="1" applyAlignment="1">
      <alignment horizontal="left" vertical="top" wrapText="1" indent="1"/>
    </xf>
    <xf numFmtId="0" fontId="0" fillId="0" borderId="28" xfId="10" applyFont="1" applyBorder="1" applyAlignment="1" applyProtection="1">
      <alignment horizontal="left" vertical="top" wrapText="1" indent="1"/>
      <protection locked="0"/>
    </xf>
    <xf numFmtId="0" fontId="0" fillId="0" borderId="27" xfId="10" applyFont="1" applyBorder="1" applyAlignment="1">
      <alignment horizontal="left" vertical="top" wrapText="1" indent="1"/>
    </xf>
    <xf numFmtId="0" fontId="0" fillId="0" borderId="28" xfId="10" applyFont="1" applyBorder="1" applyAlignment="1">
      <alignment horizontal="left" vertical="top" wrapText="1" indent="1"/>
    </xf>
    <xf numFmtId="0" fontId="6" fillId="0" borderId="25" xfId="10" applyFont="1" applyBorder="1" applyAlignment="1">
      <alignment horizontal="left" vertical="top" wrapText="1" indent="1"/>
    </xf>
    <xf numFmtId="0" fontId="0" fillId="0" borderId="25" xfId="10" applyFont="1" applyBorder="1" applyAlignment="1">
      <alignment horizontal="left" vertical="top" wrapText="1" indent="2"/>
    </xf>
    <xf numFmtId="0" fontId="0" fillId="0" borderId="25" xfId="10" applyFont="1" applyBorder="1" applyAlignment="1" applyProtection="1">
      <alignment horizontal="left" vertical="top" wrapText="1" indent="1"/>
      <protection locked="0"/>
    </xf>
    <xf numFmtId="0" fontId="21" fillId="11" borderId="18" xfId="13" applyFont="1" applyFill="1" applyBorder="1" applyAlignment="1">
      <alignment horizontal="left" vertical="top" wrapText="1" indent="1"/>
    </xf>
    <xf numFmtId="0" fontId="31" fillId="9" borderId="0" xfId="19" applyFill="1" applyBorder="1" applyAlignment="1" applyProtection="1">
      <alignment horizontal="left" vertical="center" wrapText="1" indent="1"/>
    </xf>
    <xf numFmtId="0" fontId="6" fillId="0" borderId="16" xfId="10" applyFont="1" applyBorder="1" applyAlignment="1">
      <alignment horizontal="left" vertical="top" wrapText="1" indent="1"/>
    </xf>
    <xf numFmtId="0" fontId="6" fillId="11" borderId="16" xfId="14" applyFont="1" applyFill="1" applyBorder="1" applyAlignment="1" applyProtection="1">
      <alignment horizontal="left" vertical="top" wrapText="1" indent="1"/>
    </xf>
    <xf numFmtId="0" fontId="21" fillId="11" borderId="15" xfId="13" applyFont="1" applyFill="1" applyBorder="1" applyAlignment="1">
      <alignment horizontal="left" vertical="top" wrapText="1" indent="1"/>
    </xf>
    <xf numFmtId="0" fontId="0" fillId="0" borderId="25" xfId="10" applyFont="1" applyBorder="1" applyAlignment="1">
      <alignment horizontal="left" vertical="top" wrapText="1" indent="1"/>
    </xf>
    <xf numFmtId="9" fontId="0" fillId="0" borderId="6" xfId="2" applyFont="1" applyFill="1" applyBorder="1" applyAlignment="1" applyProtection="1">
      <alignment horizontal="center"/>
    </xf>
    <xf numFmtId="0" fontId="0" fillId="0" borderId="6" xfId="0" applyBorder="1" applyAlignment="1">
      <alignment horizontal="center"/>
    </xf>
    <xf numFmtId="0" fontId="20" fillId="0" borderId="0" xfId="0" applyFont="1" applyAlignment="1">
      <alignment horizontal="left"/>
    </xf>
    <xf numFmtId="0" fontId="10" fillId="0" borderId="0" xfId="0" applyFont="1" applyAlignment="1">
      <alignment horizontal="center"/>
    </xf>
    <xf numFmtId="9" fontId="0" fillId="0" borderId="6" xfId="2" applyFont="1" applyFill="1" applyBorder="1" applyAlignment="1" applyProtection="1">
      <alignment horizontal="left" vertical="center" indent="1"/>
    </xf>
    <xf numFmtId="2" fontId="0" fillId="0" borderId="6" xfId="2" applyNumberFormat="1" applyFont="1" applyFill="1" applyBorder="1" applyAlignment="1" applyProtection="1">
      <alignment horizontal="left" vertical="center" indent="1"/>
    </xf>
    <xf numFmtId="166" fontId="0" fillId="0" borderId="6" xfId="2" applyNumberFormat="1" applyFont="1" applyFill="1" applyBorder="1" applyAlignment="1" applyProtection="1">
      <alignment horizontal="left" vertical="center" indent="1"/>
    </xf>
    <xf numFmtId="0" fontId="0" fillId="0" borderId="0" xfId="0" applyAlignment="1">
      <alignment horizontal="center" vertical="center"/>
    </xf>
    <xf numFmtId="0" fontId="11" fillId="0" borderId="0" xfId="0" applyFont="1"/>
    <xf numFmtId="0" fontId="16" fillId="9" borderId="0" xfId="0" applyFont="1" applyFill="1" applyAlignment="1">
      <alignment horizontal="center"/>
    </xf>
    <xf numFmtId="0" fontId="12" fillId="0" borderId="0" xfId="0" applyFont="1"/>
    <xf numFmtId="0" fontId="13" fillId="0" borderId="0" xfId="0" applyFont="1"/>
    <xf numFmtId="0" fontId="14" fillId="0" borderId="0" xfId="0" applyFont="1"/>
    <xf numFmtId="9" fontId="0" fillId="0" borderId="0" xfId="2" applyFont="1" applyFill="1" applyBorder="1" applyAlignment="1" applyProtection="1">
      <alignment horizontal="center"/>
    </xf>
    <xf numFmtId="0" fontId="18" fillId="0" borderId="0" xfId="0" applyFont="1" applyAlignment="1">
      <alignment horizontal="left" indent="1"/>
    </xf>
    <xf numFmtId="9" fontId="0" fillId="9" borderId="0" xfId="2" applyFont="1" applyFill="1" applyBorder="1" applyAlignment="1" applyProtection="1">
      <alignment horizontal="center"/>
    </xf>
    <xf numFmtId="166" fontId="9" fillId="10" borderId="8" xfId="1" applyNumberFormat="1" applyFont="1" applyFill="1" applyBorder="1" applyAlignment="1" applyProtection="1">
      <alignment horizontal="left" vertical="center" indent="1"/>
    </xf>
    <xf numFmtId="166" fontId="0" fillId="0" borderId="6" xfId="1" applyNumberFormat="1" applyFont="1" applyFill="1" applyBorder="1" applyAlignment="1" applyProtection="1">
      <alignment horizontal="left" indent="1"/>
    </xf>
    <xf numFmtId="9" fontId="0" fillId="0" borderId="6" xfId="2" applyFont="1" applyFill="1" applyBorder="1" applyAlignment="1" applyProtection="1">
      <alignment horizontal="left" indent="1"/>
    </xf>
    <xf numFmtId="166" fontId="0" fillId="0" borderId="6" xfId="1" applyNumberFormat="1" applyFont="1" applyFill="1" applyBorder="1" applyAlignment="1" applyProtection="1">
      <alignment horizontal="center"/>
    </xf>
    <xf numFmtId="165" fontId="0" fillId="0" borderId="0" xfId="1" applyFont="1" applyFill="1" applyBorder="1" applyAlignment="1" applyProtection="1">
      <alignment horizontal="center"/>
    </xf>
    <xf numFmtId="9" fontId="0" fillId="0" borderId="6" xfId="1" applyNumberFormat="1" applyFont="1" applyFill="1" applyBorder="1" applyAlignment="1" applyProtection="1">
      <alignment horizontal="left" indent="1"/>
    </xf>
    <xf numFmtId="0" fontId="0" fillId="0" borderId="0" xfId="0" applyAlignment="1">
      <alignment horizontal="left" indent="1"/>
    </xf>
    <xf numFmtId="166" fontId="0" fillId="0" borderId="6" xfId="2" applyNumberFormat="1" applyFont="1" applyFill="1" applyBorder="1" applyAlignment="1" applyProtection="1">
      <alignment horizontal="left" indent="1"/>
    </xf>
    <xf numFmtId="9" fontId="0" fillId="0" borderId="6" xfId="2" applyFont="1" applyFill="1" applyBorder="1" applyAlignment="1" applyProtection="1">
      <alignment horizontal="center"/>
      <protection locked="0"/>
    </xf>
    <xf numFmtId="166" fontId="0" fillId="0" borderId="16" xfId="10" applyNumberFormat="1" applyFont="1" applyBorder="1" applyAlignment="1" applyProtection="1">
      <alignment horizontal="left" vertical="top" wrapText="1" indent="1"/>
      <protection locked="0"/>
    </xf>
    <xf numFmtId="166" fontId="0" fillId="11" borderId="16" xfId="14" applyNumberFormat="1" applyFont="1" applyFill="1" applyBorder="1" applyAlignment="1">
      <alignment horizontal="left" vertical="top" wrapText="1" indent="1"/>
      <protection locked="0"/>
    </xf>
    <xf numFmtId="166" fontId="0" fillId="0" borderId="16" xfId="2" applyNumberFormat="1" applyFont="1" applyBorder="1" applyAlignment="1" applyProtection="1">
      <alignment horizontal="left" vertical="top" wrapText="1" indent="1"/>
      <protection locked="0"/>
    </xf>
    <xf numFmtId="166" fontId="0" fillId="11" borderId="16" xfId="2" applyNumberFormat="1" applyFont="1" applyFill="1" applyBorder="1" applyAlignment="1" applyProtection="1">
      <alignment horizontal="left" vertical="top" wrapText="1" indent="1"/>
      <protection locked="0"/>
    </xf>
    <xf numFmtId="0" fontId="0" fillId="0" borderId="0" xfId="0" applyAlignment="1">
      <alignment vertical="center" wrapText="1"/>
    </xf>
    <xf numFmtId="9" fontId="0" fillId="0" borderId="28" xfId="2" applyFont="1" applyBorder="1" applyAlignment="1" applyProtection="1">
      <alignment horizontal="left" vertical="top" wrapText="1" indent="1"/>
      <protection locked="0"/>
    </xf>
    <xf numFmtId="10" fontId="0" fillId="0" borderId="0" xfId="18" applyNumberFormat="1" applyFont="1" applyProtection="1"/>
    <xf numFmtId="167" fontId="19" fillId="0" borderId="0" xfId="0" applyNumberFormat="1" applyFont="1" applyAlignment="1">
      <alignment horizontal="left" vertical="center" indent="9"/>
    </xf>
    <xf numFmtId="0" fontId="36" fillId="0" borderId="0" xfId="0" applyFont="1" applyAlignment="1">
      <alignment horizontal="left" vertical="center" indent="9"/>
    </xf>
    <xf numFmtId="167" fontId="19" fillId="9" borderId="0" xfId="0" applyNumberFormat="1" applyFont="1" applyFill="1" applyAlignment="1">
      <alignment horizontal="left" vertical="center" indent="9"/>
    </xf>
    <xf numFmtId="0" fontId="17" fillId="0" borderId="13" xfId="0" applyFont="1" applyBorder="1" applyAlignment="1">
      <alignment horizontal="center"/>
    </xf>
    <xf numFmtId="167" fontId="0" fillId="0" borderId="0" xfId="0" applyNumberFormat="1"/>
    <xf numFmtId="10" fontId="6" fillId="0" borderId="0" xfId="18" applyNumberFormat="1" applyFont="1" applyProtection="1"/>
    <xf numFmtId="10" fontId="0" fillId="0" borderId="0" xfId="0" applyNumberFormat="1"/>
    <xf numFmtId="0" fontId="0" fillId="0" borderId="12" xfId="0" applyBorder="1"/>
    <xf numFmtId="10" fontId="0" fillId="0" borderId="12" xfId="0" applyNumberFormat="1" applyBorder="1"/>
    <xf numFmtId="0" fontId="19" fillId="9" borderId="0" xfId="0" applyFont="1" applyFill="1" applyAlignment="1">
      <alignment horizontal="left" vertical="center" indent="9"/>
    </xf>
    <xf numFmtId="0" fontId="0" fillId="0" borderId="16" xfId="2" applyNumberFormat="1" applyFont="1" applyBorder="1" applyAlignment="1" applyProtection="1">
      <alignment horizontal="left" vertical="top" wrapText="1" indent="1"/>
    </xf>
    <xf numFmtId="9" fontId="0" fillId="0" borderId="0" xfId="2" applyFont="1" applyFill="1" applyBorder="1" applyAlignment="1" applyProtection="1">
      <alignment horizontal="left" vertical="center" indent="1"/>
    </xf>
    <xf numFmtId="166" fontId="0" fillId="0" borderId="0" xfId="2" applyNumberFormat="1" applyFont="1" applyFill="1" applyBorder="1" applyAlignment="1" applyProtection="1">
      <alignment horizontal="left" vertical="center" indent="1"/>
    </xf>
    <xf numFmtId="0" fontId="6" fillId="10" borderId="10" xfId="0" applyFont="1" applyFill="1" applyBorder="1" applyAlignment="1">
      <alignment horizontal="center" vertical="center"/>
    </xf>
    <xf numFmtId="0" fontId="6" fillId="10" borderId="7" xfId="0" applyFont="1" applyFill="1" applyBorder="1" applyAlignment="1">
      <alignment horizontal="center" vertical="center"/>
    </xf>
    <xf numFmtId="0" fontId="6" fillId="10" borderId="11" xfId="0" applyFont="1" applyFill="1" applyBorder="1" applyAlignment="1">
      <alignment horizontal="center" vertical="center"/>
    </xf>
    <xf numFmtId="0" fontId="6" fillId="10" borderId="10" xfId="0" applyFont="1" applyFill="1" applyBorder="1" applyAlignment="1">
      <alignment horizontal="left" vertical="center" indent="1"/>
    </xf>
    <xf numFmtId="0" fontId="6" fillId="10" borderId="7" xfId="0" applyFont="1" applyFill="1" applyBorder="1" applyAlignment="1">
      <alignment horizontal="left" vertical="center" indent="1"/>
    </xf>
    <xf numFmtId="0" fontId="6" fillId="10" borderId="11" xfId="0" applyFont="1" applyFill="1" applyBorder="1" applyAlignment="1">
      <alignment horizontal="left" vertical="center" indent="1"/>
    </xf>
    <xf numFmtId="0" fontId="6" fillId="10" borderId="24" xfId="0" applyFont="1" applyFill="1" applyBorder="1" applyAlignment="1">
      <alignment horizontal="left" vertical="center" indent="1"/>
    </xf>
    <xf numFmtId="0" fontId="6" fillId="10" borderId="23" xfId="0" applyFont="1" applyFill="1" applyBorder="1" applyAlignment="1">
      <alignment horizontal="left" vertical="center" indent="1"/>
    </xf>
    <xf numFmtId="0" fontId="6" fillId="10" borderId="7" xfId="2" applyNumberFormat="1" applyFont="1" applyFill="1" applyBorder="1" applyAlignment="1" applyProtection="1">
      <alignment horizontal="left" vertical="center" indent="1"/>
    </xf>
    <xf numFmtId="9" fontId="6" fillId="10" borderId="11" xfId="2" applyFont="1" applyFill="1" applyBorder="1" applyAlignment="1" applyProtection="1">
      <alignment horizontal="left" vertical="center" indent="1"/>
    </xf>
    <xf numFmtId="166" fontId="6" fillId="10" borderId="11" xfId="1" applyNumberFormat="1" applyFont="1" applyFill="1" applyBorder="1" applyAlignment="1" applyProtection="1">
      <alignment horizontal="left" vertical="center" indent="1"/>
    </xf>
    <xf numFmtId="2" fontId="0" fillId="0" borderId="0" xfId="2" applyNumberFormat="1" applyFont="1" applyFill="1" applyBorder="1" applyAlignment="1" applyProtection="1">
      <alignment horizontal="left" vertical="center" indent="1"/>
    </xf>
    <xf numFmtId="0" fontId="18" fillId="0" borderId="0" xfId="0" applyFont="1" applyAlignment="1">
      <alignment vertical="center" wrapText="1"/>
    </xf>
    <xf numFmtId="0" fontId="19" fillId="10" borderId="0" xfId="0" applyFont="1" applyFill="1" applyAlignment="1">
      <alignment horizontal="left" vertical="center" indent="9"/>
    </xf>
    <xf numFmtId="0" fontId="20" fillId="0" borderId="0" xfId="0" applyFont="1" applyAlignment="1">
      <alignment horizontal="center"/>
    </xf>
    <xf numFmtId="0" fontId="34" fillId="0" borderId="0" xfId="0" applyFont="1" applyAlignment="1">
      <alignment horizontal="left" vertical="center"/>
    </xf>
    <xf numFmtId="0" fontId="33" fillId="0" borderId="0" xfId="0" applyFont="1" applyAlignment="1">
      <alignment horizontal="left" vertical="center"/>
    </xf>
    <xf numFmtId="0" fontId="36" fillId="0" borderId="0" xfId="0" applyFont="1" applyAlignment="1">
      <alignment horizontal="left" vertical="center"/>
    </xf>
    <xf numFmtId="0" fontId="32" fillId="12" borderId="0" xfId="20" applyFont="1" applyFill="1" applyAlignment="1">
      <alignment horizontal="left" vertical="center" indent="1"/>
    </xf>
    <xf numFmtId="0" fontId="3" fillId="12" borderId="0" xfId="3" applyFill="1" applyAlignment="1">
      <alignment horizontal="left" vertical="top" indent="1"/>
    </xf>
    <xf numFmtId="0" fontId="2" fillId="12" borderId="0" xfId="3" applyFont="1" applyFill="1" applyAlignment="1">
      <alignment horizontal="left" vertical="top" wrapText="1" indent="1"/>
    </xf>
    <xf numFmtId="0" fontId="0" fillId="0" borderId="31" xfId="10" applyFont="1" applyBorder="1" applyAlignment="1" applyProtection="1">
      <alignment horizontal="left" vertical="top" wrapText="1" indent="1"/>
      <protection locked="0"/>
    </xf>
    <xf numFmtId="0" fontId="6" fillId="0" borderId="32" xfId="10" applyFont="1" applyBorder="1" applyAlignment="1">
      <alignment horizontal="left" vertical="top" wrapText="1" indent="1"/>
    </xf>
    <xf numFmtId="0" fontId="2" fillId="11" borderId="9" xfId="3" applyFont="1" applyFill="1" applyBorder="1" applyAlignment="1">
      <alignment horizontal="left" vertical="top" wrapText="1" indent="1"/>
    </xf>
    <xf numFmtId="0" fontId="2" fillId="11" borderId="5" xfId="3" applyFont="1" applyFill="1" applyBorder="1" applyAlignment="1">
      <alignment horizontal="left" vertical="top" wrapText="1" indent="1"/>
    </xf>
    <xf numFmtId="0" fontId="3" fillId="11" borderId="9" xfId="3" applyFill="1" applyBorder="1" applyAlignment="1">
      <alignment horizontal="left" vertical="top" indent="1"/>
    </xf>
    <xf numFmtId="0" fontId="3" fillId="11" borderId="5" xfId="3" applyFill="1" applyBorder="1" applyAlignment="1">
      <alignment horizontal="left" vertical="top" wrapText="1" indent="1"/>
    </xf>
    <xf numFmtId="0" fontId="0" fillId="11" borderId="5" xfId="3" applyFont="1" applyFill="1" applyBorder="1" applyAlignment="1">
      <alignment horizontal="left" vertical="top" wrapText="1" indent="1"/>
    </xf>
    <xf numFmtId="0" fontId="7" fillId="11" borderId="5" xfId="3" applyFont="1" applyFill="1" applyBorder="1" applyAlignment="1">
      <alignment horizontal="left" vertical="top" wrapText="1" indent="1"/>
    </xf>
    <xf numFmtId="0" fontId="7" fillId="11" borderId="9" xfId="3" applyFont="1" applyFill="1" applyBorder="1" applyAlignment="1">
      <alignment horizontal="left" vertical="top" indent="1"/>
    </xf>
    <xf numFmtId="14" fontId="0" fillId="0" borderId="6" xfId="2" applyNumberFormat="1" applyFont="1" applyFill="1" applyBorder="1" applyAlignment="1" applyProtection="1">
      <alignment horizontal="left" vertical="center" indent="1"/>
    </xf>
    <xf numFmtId="0" fontId="17" fillId="0" borderId="0" xfId="7" applyFont="1" applyAlignment="1">
      <alignment horizontal="center" vertical="center" wrapText="1"/>
    </xf>
    <xf numFmtId="1" fontId="0" fillId="0" borderId="0" xfId="0" applyNumberFormat="1"/>
    <xf numFmtId="0" fontId="0" fillId="0" borderId="6" xfId="0" applyBorder="1" applyAlignment="1" applyProtection="1">
      <alignment horizontal="center"/>
      <protection locked="0"/>
    </xf>
    <xf numFmtId="0" fontId="31" fillId="12" borderId="0" xfId="19" applyFill="1" applyBorder="1" applyAlignment="1" applyProtection="1">
      <alignment horizontal="left" vertical="center" wrapText="1" indent="1"/>
    </xf>
    <xf numFmtId="0" fontId="18" fillId="0" borderId="0" xfId="0" applyFont="1" applyAlignment="1">
      <alignment horizontal="center"/>
    </xf>
    <xf numFmtId="0" fontId="38" fillId="0" borderId="0" xfId="0" applyFont="1" applyAlignment="1">
      <alignment horizontal="left" indent="1"/>
    </xf>
    <xf numFmtId="166" fontId="6" fillId="10" borderId="23" xfId="1" applyNumberFormat="1" applyFont="1" applyFill="1" applyBorder="1" applyAlignment="1" applyProtection="1">
      <alignment horizontal="left" vertical="center" wrapText="1" indent="1"/>
    </xf>
    <xf numFmtId="166" fontId="6" fillId="10" borderId="29" xfId="1" applyNumberFormat="1" applyFont="1" applyFill="1" applyBorder="1" applyAlignment="1" applyProtection="1">
      <alignment horizontal="left" vertical="center" wrapText="1" indent="1"/>
    </xf>
    <xf numFmtId="166" fontId="6" fillId="10" borderId="30" xfId="1" applyNumberFormat="1" applyFont="1" applyFill="1" applyBorder="1" applyAlignment="1" applyProtection="1">
      <alignment horizontal="left" vertical="center" wrapText="1" indent="1"/>
    </xf>
    <xf numFmtId="166" fontId="6" fillId="10" borderId="9" xfId="1" applyNumberFormat="1" applyFont="1" applyFill="1" applyBorder="1" applyAlignment="1" applyProtection="1">
      <alignment horizontal="left" vertical="center" wrapText="1" indent="1"/>
    </xf>
    <xf numFmtId="166" fontId="6" fillId="10" borderId="8" xfId="1" applyNumberFormat="1" applyFont="1" applyFill="1" applyBorder="1" applyAlignment="1" applyProtection="1">
      <alignment horizontal="left" vertical="center" wrapText="1" indent="1"/>
    </xf>
    <xf numFmtId="0" fontId="25" fillId="0" borderId="33" xfId="16" applyFont="1" applyBorder="1" applyAlignment="1">
      <alignment horizontal="left" vertical="top" wrapText="1"/>
    </xf>
    <xf numFmtId="0" fontId="0" fillId="4" borderId="34" xfId="0" applyFill="1" applyBorder="1"/>
    <xf numFmtId="0" fontId="6" fillId="5" borderId="35" xfId="0" applyFont="1" applyFill="1" applyBorder="1"/>
    <xf numFmtId="0" fontId="8" fillId="7" borderId="36" xfId="0" applyFont="1" applyFill="1" applyBorder="1"/>
    <xf numFmtId="0" fontId="0" fillId="7" borderId="37" xfId="0" applyFill="1" applyBorder="1"/>
    <xf numFmtId="0" fontId="0" fillId="7" borderId="34" xfId="0" applyFill="1" applyBorder="1"/>
    <xf numFmtId="0" fontId="0" fillId="7" borderId="36" xfId="0" applyFill="1" applyBorder="1"/>
    <xf numFmtId="0" fontId="6" fillId="8" borderId="19" xfId="0" applyFont="1" applyFill="1" applyBorder="1"/>
    <xf numFmtId="0" fontId="0" fillId="8" borderId="20" xfId="0" applyFill="1" applyBorder="1"/>
    <xf numFmtId="0" fontId="6" fillId="6" borderId="19" xfId="0" applyFont="1" applyFill="1" applyBorder="1"/>
    <xf numFmtId="0" fontId="0" fillId="6" borderId="20" xfId="0" applyFill="1" applyBorder="1"/>
    <xf numFmtId="0" fontId="6" fillId="6" borderId="20" xfId="0" applyFont="1" applyFill="1" applyBorder="1"/>
    <xf numFmtId="0" fontId="0" fillId="6" borderId="21" xfId="0" applyFill="1" applyBorder="1"/>
    <xf numFmtId="0" fontId="0" fillId="0" borderId="36" xfId="2" applyNumberFormat="1" applyFont="1" applyBorder="1"/>
    <xf numFmtId="0" fontId="0" fillId="0" borderId="34" xfId="2" applyNumberFormat="1" applyFont="1" applyBorder="1"/>
    <xf numFmtId="0" fontId="0" fillId="0" borderId="36" xfId="0" applyBorder="1"/>
    <xf numFmtId="0" fontId="0" fillId="0" borderId="37" xfId="0" applyBorder="1"/>
    <xf numFmtId="0" fontId="0" fillId="3" borderId="36" xfId="0" applyFill="1" applyBorder="1"/>
    <xf numFmtId="0" fontId="0" fillId="0" borderId="34" xfId="0" applyBorder="1"/>
    <xf numFmtId="0" fontId="6" fillId="3" borderId="19" xfId="0" applyFont="1" applyFill="1" applyBorder="1"/>
    <xf numFmtId="0" fontId="0" fillId="0" borderId="20" xfId="0" applyBorder="1"/>
    <xf numFmtId="0" fontId="0" fillId="5" borderId="19" xfId="0" applyFill="1" applyBorder="1"/>
    <xf numFmtId="0" fontId="0" fillId="5" borderId="20" xfId="0" applyFill="1" applyBorder="1"/>
    <xf numFmtId="0" fontId="0" fillId="5" borderId="21" xfId="0" applyFill="1" applyBorder="1"/>
    <xf numFmtId="0" fontId="6" fillId="6" borderId="36" xfId="0" applyFont="1" applyFill="1" applyBorder="1"/>
    <xf numFmtId="0" fontId="0" fillId="3" borderId="37" xfId="0" applyFill="1" applyBorder="1"/>
    <xf numFmtId="0" fontId="0" fillId="3" borderId="34" xfId="0" applyFill="1" applyBorder="1"/>
    <xf numFmtId="0" fontId="0" fillId="3" borderId="20" xfId="0" applyFill="1" applyBorder="1"/>
    <xf numFmtId="0" fontId="0" fillId="3" borderId="21" xfId="0" applyFill="1" applyBorder="1"/>
    <xf numFmtId="0" fontId="0" fillId="3" borderId="19" xfId="0" applyFill="1" applyBorder="1"/>
    <xf numFmtId="0" fontId="6" fillId="3" borderId="20" xfId="0" applyFont="1" applyFill="1" applyBorder="1"/>
    <xf numFmtId="0" fontId="0" fillId="6" borderId="19" xfId="0" applyFill="1" applyBorder="1"/>
    <xf numFmtId="0" fontId="17" fillId="0" borderId="20" xfId="0" applyFont="1" applyBorder="1" applyAlignment="1">
      <alignment horizontal="center"/>
    </xf>
    <xf numFmtId="0" fontId="6" fillId="0" borderId="19" xfId="0" applyFont="1" applyBorder="1"/>
    <xf numFmtId="0" fontId="6" fillId="0" borderId="20" xfId="0" applyFont="1" applyBorder="1"/>
    <xf numFmtId="0" fontId="6" fillId="0" borderId="21" xfId="0" applyFont="1" applyBorder="1"/>
    <xf numFmtId="0" fontId="0" fillId="5" borderId="37" xfId="0" applyFill="1" applyBorder="1"/>
    <xf numFmtId="0" fontId="0" fillId="6" borderId="2" xfId="0" applyFill="1" applyBorder="1"/>
    <xf numFmtId="9" fontId="6" fillId="0" borderId="0" xfId="0" applyNumberFormat="1" applyFont="1"/>
    <xf numFmtId="10" fontId="0" fillId="0" borderId="0" xfId="18" applyNumberFormat="1" applyFont="1"/>
    <xf numFmtId="0" fontId="0" fillId="9" borderId="0" xfId="0" applyFill="1" applyAlignment="1">
      <alignment horizontal="center" vertical="center"/>
    </xf>
    <xf numFmtId="166" fontId="6" fillId="10" borderId="8" xfId="21" applyNumberFormat="1" applyFont="1" applyFill="1" applyBorder="1" applyAlignment="1" applyProtection="1">
      <alignment horizontal="left" vertical="center" wrapText="1" indent="1"/>
    </xf>
    <xf numFmtId="166" fontId="0" fillId="0" borderId="6" xfId="21" applyNumberFormat="1" applyFont="1" applyFill="1" applyBorder="1" applyAlignment="1" applyProtection="1">
      <alignment horizontal="left" vertical="center" indent="1"/>
    </xf>
    <xf numFmtId="2" fontId="0" fillId="0" borderId="6" xfId="21" applyNumberFormat="1" applyFont="1" applyFill="1" applyBorder="1" applyAlignment="1" applyProtection="1">
      <alignment horizontal="left" vertical="center" indent="1"/>
    </xf>
    <xf numFmtId="0" fontId="0" fillId="0" borderId="42" xfId="0" applyBorder="1"/>
    <xf numFmtId="0" fontId="6" fillId="10" borderId="0" xfId="0" applyFont="1" applyFill="1" applyAlignment="1">
      <alignment horizontal="left" vertical="top" indent="1"/>
    </xf>
    <xf numFmtId="0" fontId="0" fillId="10" borderId="0" xfId="0" applyFill="1" applyAlignment="1">
      <alignment horizontal="left" vertical="top" wrapText="1" indent="1"/>
    </xf>
    <xf numFmtId="0" fontId="6" fillId="10" borderId="0" xfId="0" applyFont="1" applyFill="1" applyAlignment="1">
      <alignment horizontal="center" vertical="top"/>
    </xf>
    <xf numFmtId="166" fontId="6" fillId="10" borderId="18" xfId="21" applyNumberFormat="1" applyFont="1" applyFill="1" applyBorder="1" applyAlignment="1" applyProtection="1">
      <alignment horizontal="left" vertical="center" wrapText="1" indent="1"/>
    </xf>
    <xf numFmtId="9" fontId="0" fillId="0" borderId="16" xfId="22" applyFont="1" applyBorder="1" applyAlignment="1" applyProtection="1">
      <alignment horizontal="left" vertical="top" wrapText="1" indent="1"/>
    </xf>
    <xf numFmtId="9" fontId="0" fillId="11" borderId="16" xfId="22" applyFont="1" applyFill="1" applyBorder="1" applyAlignment="1" applyProtection="1">
      <alignment horizontal="left" vertical="top" wrapText="1" indent="1"/>
    </xf>
    <xf numFmtId="9" fontId="0" fillId="0" borderId="28" xfId="22" applyFont="1" applyBorder="1" applyAlignment="1" applyProtection="1">
      <alignment horizontal="left" vertical="top" wrapText="1" indent="1"/>
    </xf>
    <xf numFmtId="9" fontId="6" fillId="0" borderId="0" xfId="2" applyFont="1" applyFill="1" applyBorder="1"/>
    <xf numFmtId="9" fontId="0" fillId="0" borderId="16" xfId="22" applyFont="1" applyBorder="1" applyAlignment="1" applyProtection="1">
      <alignment horizontal="left" vertical="top" wrapText="1" indent="1"/>
      <protection locked="0"/>
    </xf>
    <xf numFmtId="9" fontId="0" fillId="11" borderId="16" xfId="22" applyFont="1" applyFill="1" applyBorder="1" applyAlignment="1" applyProtection="1">
      <alignment horizontal="left" vertical="top" wrapText="1" indent="1"/>
      <protection locked="0"/>
    </xf>
    <xf numFmtId="9" fontId="0" fillId="0" borderId="28" xfId="22" applyFont="1" applyBorder="1" applyAlignment="1" applyProtection="1">
      <alignment horizontal="left" vertical="top" wrapText="1" indent="1"/>
      <protection locked="0"/>
    </xf>
    <xf numFmtId="0" fontId="0" fillId="0" borderId="6" xfId="21" applyNumberFormat="1" applyFont="1" applyFill="1" applyBorder="1" applyAlignment="1" applyProtection="1">
      <alignment horizontal="left" vertical="center" wrapText="1" indent="1"/>
    </xf>
    <xf numFmtId="166" fontId="0" fillId="11" borderId="16" xfId="21" applyNumberFormat="1" applyFont="1" applyFill="1" applyBorder="1" applyAlignment="1" applyProtection="1">
      <alignment horizontal="left" vertical="top" wrapText="1" indent="1"/>
      <protection locked="0"/>
    </xf>
    <xf numFmtId="166" fontId="0" fillId="0" borderId="16" xfId="21" applyNumberFormat="1" applyFont="1" applyBorder="1" applyAlignment="1" applyProtection="1">
      <alignment horizontal="left" vertical="top" wrapText="1" indent="1"/>
      <protection locked="0"/>
    </xf>
    <xf numFmtId="166" fontId="0" fillId="0" borderId="25" xfId="21" applyNumberFormat="1" applyFont="1" applyBorder="1" applyAlignment="1" applyProtection="1">
      <alignment horizontal="left" vertical="top" wrapText="1" indent="1"/>
      <protection locked="0"/>
    </xf>
    <xf numFmtId="166" fontId="40" fillId="11" borderId="16" xfId="21" applyNumberFormat="1" applyFont="1" applyFill="1" applyBorder="1" applyAlignment="1" applyProtection="1">
      <alignment horizontal="left" vertical="top" wrapText="1" indent="1"/>
      <protection locked="0"/>
    </xf>
    <xf numFmtId="166" fontId="40" fillId="0" borderId="16" xfId="21" applyNumberFormat="1" applyFont="1" applyBorder="1" applyAlignment="1" applyProtection="1">
      <alignment horizontal="left" vertical="top" wrapText="1" indent="1"/>
      <protection locked="0"/>
    </xf>
    <xf numFmtId="166" fontId="40" fillId="0" borderId="25" xfId="21" applyNumberFormat="1" applyFont="1" applyBorder="1" applyAlignment="1" applyProtection="1">
      <alignment horizontal="left" vertical="top" wrapText="1" indent="1"/>
      <protection locked="0"/>
    </xf>
    <xf numFmtId="166" fontId="40" fillId="0" borderId="16" xfId="17" applyNumberFormat="1" applyFont="1" applyBorder="1" applyAlignment="1" applyProtection="1">
      <alignment horizontal="left" vertical="top" wrapText="1" indent="1"/>
      <protection locked="0"/>
    </xf>
    <xf numFmtId="166" fontId="40" fillId="11" borderId="16" xfId="17" applyNumberFormat="1" applyFont="1" applyFill="1" applyBorder="1" applyAlignment="1" applyProtection="1">
      <alignment horizontal="left" vertical="top" wrapText="1" indent="1"/>
      <protection locked="0"/>
    </xf>
    <xf numFmtId="166" fontId="40" fillId="0" borderId="25" xfId="17" applyNumberFormat="1" applyFont="1" applyBorder="1" applyAlignment="1" applyProtection="1">
      <alignment horizontal="left" vertical="top" wrapText="1" indent="1"/>
      <protection locked="0"/>
    </xf>
    <xf numFmtId="0" fontId="40" fillId="0" borderId="0" xfId="0" applyFont="1"/>
    <xf numFmtId="9" fontId="40" fillId="0" borderId="16" xfId="18" applyFont="1" applyBorder="1" applyAlignment="1" applyProtection="1">
      <alignment horizontal="left" vertical="top" wrapText="1" indent="1"/>
      <protection locked="0"/>
    </xf>
    <xf numFmtId="9" fontId="40" fillId="11" borderId="16" xfId="18" applyFont="1" applyFill="1" applyBorder="1" applyAlignment="1" applyProtection="1">
      <alignment horizontal="left" vertical="top" wrapText="1" indent="1"/>
      <protection locked="0"/>
    </xf>
    <xf numFmtId="9" fontId="40" fillId="0" borderId="25" xfId="18" applyFont="1" applyBorder="1" applyAlignment="1" applyProtection="1">
      <alignment horizontal="left" vertical="top" wrapText="1" indent="1"/>
      <protection locked="0"/>
    </xf>
    <xf numFmtId="0" fontId="40" fillId="0" borderId="16" xfId="10" applyFont="1" applyBorder="1" applyAlignment="1" applyProtection="1">
      <alignment horizontal="left" vertical="top" wrapText="1" indent="1"/>
      <protection locked="0"/>
    </xf>
    <xf numFmtId="0" fontId="40" fillId="11" borderId="16" xfId="14" applyFont="1" applyFill="1" applyBorder="1" applyAlignment="1">
      <alignment horizontal="left" vertical="top" wrapText="1" indent="1"/>
      <protection locked="0"/>
    </xf>
    <xf numFmtId="0" fontId="40" fillId="0" borderId="28" xfId="10" applyFont="1" applyBorder="1" applyAlignment="1" applyProtection="1">
      <alignment horizontal="left" vertical="top" wrapText="1" indent="1"/>
      <protection locked="0"/>
    </xf>
    <xf numFmtId="169" fontId="40" fillId="11" borderId="16" xfId="17" applyNumberFormat="1" applyFont="1" applyFill="1" applyBorder="1" applyAlignment="1" applyProtection="1">
      <alignment horizontal="left" vertical="top" wrapText="1" indent="1"/>
      <protection locked="0"/>
    </xf>
    <xf numFmtId="169" fontId="40" fillId="0" borderId="16" xfId="21" applyNumberFormat="1" applyFont="1" applyBorder="1" applyAlignment="1" applyProtection="1">
      <alignment horizontal="left" vertical="top" wrapText="1" indent="1"/>
      <protection locked="0"/>
    </xf>
    <xf numFmtId="169" fontId="40" fillId="11" borderId="16" xfId="21" applyNumberFormat="1" applyFont="1" applyFill="1" applyBorder="1" applyAlignment="1" applyProtection="1">
      <alignment horizontal="left" vertical="top" wrapText="1" indent="1"/>
      <protection locked="0"/>
    </xf>
    <xf numFmtId="169" fontId="40" fillId="0" borderId="25" xfId="21" applyNumberFormat="1" applyFont="1" applyBorder="1" applyAlignment="1" applyProtection="1">
      <alignment horizontal="left" vertical="top" wrapText="1" indent="1"/>
      <protection locked="0"/>
    </xf>
    <xf numFmtId="169" fontId="0" fillId="0" borderId="0" xfId="0" applyNumberFormat="1"/>
    <xf numFmtId="169" fontId="40" fillId="0" borderId="16" xfId="17" applyNumberFormat="1" applyFont="1" applyBorder="1" applyAlignment="1" applyProtection="1">
      <alignment horizontal="left" vertical="top" wrapText="1" indent="1"/>
      <protection locked="0"/>
    </xf>
    <xf numFmtId="169" fontId="40" fillId="0" borderId="25" xfId="17" applyNumberFormat="1" applyFont="1" applyBorder="1" applyAlignment="1" applyProtection="1">
      <alignment horizontal="left" vertical="top" wrapText="1" indent="1"/>
      <protection locked="0"/>
    </xf>
    <xf numFmtId="169" fontId="40" fillId="0" borderId="16" xfId="1" applyNumberFormat="1" applyFont="1" applyBorder="1" applyAlignment="1" applyProtection="1">
      <alignment horizontal="left" vertical="top" wrapText="1" indent="1"/>
      <protection locked="0"/>
    </xf>
    <xf numFmtId="169" fontId="40" fillId="11" borderId="16" xfId="1" applyNumberFormat="1" applyFont="1" applyFill="1" applyBorder="1" applyAlignment="1" applyProtection="1">
      <alignment horizontal="left" vertical="top" wrapText="1" indent="1"/>
      <protection locked="0"/>
    </xf>
    <xf numFmtId="169" fontId="40" fillId="0" borderId="25" xfId="1" applyNumberFormat="1" applyFont="1" applyBorder="1" applyAlignment="1" applyProtection="1">
      <alignment horizontal="left" vertical="top" wrapText="1" indent="1"/>
      <protection locked="0"/>
    </xf>
    <xf numFmtId="166" fontId="0" fillId="0" borderId="0" xfId="0" applyNumberFormat="1"/>
    <xf numFmtId="49" fontId="0" fillId="0" borderId="6" xfId="2" applyNumberFormat="1" applyFont="1" applyFill="1" applyBorder="1" applyAlignment="1" applyProtection="1">
      <alignment horizontal="left" vertical="center" indent="1"/>
    </xf>
    <xf numFmtId="0" fontId="32" fillId="12" borderId="0" xfId="20" applyFont="1" applyFill="1" applyAlignment="1">
      <alignment horizontal="left" vertical="center"/>
    </xf>
    <xf numFmtId="0" fontId="27" fillId="15" borderId="0" xfId="20" applyFont="1" applyFill="1" applyAlignment="1">
      <alignment horizontal="center" vertical="center"/>
    </xf>
    <xf numFmtId="0" fontId="0" fillId="10" borderId="0" xfId="7" applyFont="1" applyFill="1" applyAlignment="1">
      <alignment horizontal="left" wrapText="1" indent="1"/>
    </xf>
    <xf numFmtId="0" fontId="15" fillId="10" borderId="0" xfId="7" applyFont="1" applyFill="1" applyAlignment="1">
      <alignment horizontal="left" indent="1"/>
    </xf>
    <xf numFmtId="0" fontId="37" fillId="0" borderId="0" xfId="0" applyFont="1" applyAlignment="1">
      <alignment horizontal="left" vertical="center" wrapText="1" indent="1"/>
    </xf>
    <xf numFmtId="0" fontId="39" fillId="0" borderId="0" xfId="0" applyFont="1" applyAlignment="1">
      <alignment horizontal="left" wrapText="1" indent="1"/>
    </xf>
    <xf numFmtId="0" fontId="31" fillId="12" borderId="0" xfId="19" applyFill="1" applyBorder="1" applyAlignment="1" applyProtection="1">
      <alignment horizontal="left" vertical="center" wrapText="1" indent="1"/>
    </xf>
    <xf numFmtId="0" fontId="18" fillId="0" borderId="0" xfId="0" applyFont="1" applyAlignment="1">
      <alignment horizontal="center"/>
    </xf>
    <xf numFmtId="0" fontId="38" fillId="0" borderId="0" xfId="0" applyFont="1" applyAlignment="1">
      <alignment horizontal="left" indent="1"/>
    </xf>
    <xf numFmtId="9" fontId="0" fillId="0" borderId="9" xfId="22" applyFont="1" applyBorder="1" applyAlignment="1" applyProtection="1">
      <alignment horizontal="left" vertical="top" wrapText="1" indent="1"/>
    </xf>
    <xf numFmtId="9" fontId="0" fillId="0" borderId="45" xfId="22" applyFont="1" applyBorder="1" applyAlignment="1" applyProtection="1">
      <alignment horizontal="left" vertical="top" wrapText="1" indent="1"/>
    </xf>
    <xf numFmtId="166" fontId="0" fillId="0" borderId="46" xfId="10" applyNumberFormat="1" applyFont="1" applyBorder="1" applyAlignment="1">
      <alignment horizontal="left" vertical="top" wrapText="1" indent="1"/>
    </xf>
    <xf numFmtId="166" fontId="0" fillId="0" borderId="45" xfId="10" applyNumberFormat="1" applyFont="1" applyBorder="1" applyAlignment="1">
      <alignment horizontal="left" vertical="top" wrapText="1" indent="1"/>
    </xf>
    <xf numFmtId="9" fontId="0" fillId="11" borderId="9" xfId="22" applyFont="1" applyFill="1" applyBorder="1" applyAlignment="1" applyProtection="1">
      <alignment horizontal="left" vertical="top" wrapText="1" indent="1"/>
    </xf>
    <xf numFmtId="9" fontId="0" fillId="11" borderId="45" xfId="22" applyFont="1" applyFill="1" applyBorder="1" applyAlignment="1" applyProtection="1">
      <alignment horizontal="left" vertical="top" wrapText="1" indent="1"/>
    </xf>
    <xf numFmtId="166" fontId="0" fillId="11" borderId="46" xfId="14" applyNumberFormat="1" applyFont="1" applyFill="1" applyBorder="1" applyAlignment="1" applyProtection="1">
      <alignment horizontal="left" vertical="top" wrapText="1" indent="1"/>
    </xf>
    <xf numFmtId="166" fontId="0" fillId="11" borderId="45" xfId="14" applyNumberFormat="1" applyFont="1" applyFill="1" applyBorder="1" applyAlignment="1" applyProtection="1">
      <alignment horizontal="left" vertical="top" wrapText="1" indent="1"/>
    </xf>
    <xf numFmtId="9" fontId="0" fillId="0" borderId="47" xfId="22" applyFont="1" applyBorder="1" applyAlignment="1" applyProtection="1">
      <alignment horizontal="left" vertical="top" wrapText="1" indent="1"/>
    </xf>
    <xf numFmtId="9" fontId="0" fillId="0" borderId="48" xfId="22" applyFont="1" applyBorder="1" applyAlignment="1" applyProtection="1">
      <alignment horizontal="left" vertical="top" wrapText="1" indent="1"/>
    </xf>
    <xf numFmtId="166" fontId="0" fillId="0" borderId="49" xfId="10" applyNumberFormat="1" applyFont="1" applyBorder="1" applyAlignment="1">
      <alignment horizontal="left" vertical="top" wrapText="1" indent="1"/>
    </xf>
    <xf numFmtId="166" fontId="0" fillId="0" borderId="48" xfId="10" applyNumberFormat="1" applyFont="1" applyBorder="1" applyAlignment="1">
      <alignment horizontal="left" vertical="top" wrapText="1" indent="1"/>
    </xf>
    <xf numFmtId="166" fontId="6" fillId="10" borderId="18" xfId="21" applyNumberFormat="1" applyFont="1" applyFill="1" applyBorder="1" applyAlignment="1" applyProtection="1">
      <alignment horizontal="left" vertical="center" wrapText="1" indent="1"/>
    </xf>
    <xf numFmtId="0" fontId="37" fillId="9" borderId="0" xfId="0" applyFont="1" applyFill="1" applyAlignment="1">
      <alignment horizontal="left" indent="1"/>
    </xf>
    <xf numFmtId="0" fontId="37" fillId="0" borderId="0" xfId="0" applyFont="1" applyAlignment="1">
      <alignment horizontal="left" indent="1"/>
    </xf>
    <xf numFmtId="166" fontId="6" fillId="10" borderId="8" xfId="21" applyNumberFormat="1" applyFont="1" applyFill="1" applyBorder="1" applyAlignment="1" applyProtection="1">
      <alignment horizontal="left" vertical="center" wrapText="1" indent="1"/>
    </xf>
    <xf numFmtId="166" fontId="0" fillId="0" borderId="40" xfId="21" applyNumberFormat="1" applyFont="1" applyFill="1" applyBorder="1" applyAlignment="1" applyProtection="1">
      <alignment horizontal="left" vertical="center" wrapText="1" indent="1"/>
      <protection locked="0"/>
    </xf>
    <xf numFmtId="166" fontId="0" fillId="0" borderId="43" xfId="21" applyNumberFormat="1" applyFont="1" applyFill="1" applyBorder="1" applyAlignment="1" applyProtection="1">
      <alignment horizontal="left" vertical="center" wrapText="1" indent="1"/>
      <protection locked="0"/>
    </xf>
    <xf numFmtId="166" fontId="0" fillId="0" borderId="41" xfId="21" applyNumberFormat="1" applyFont="1" applyFill="1" applyBorder="1" applyAlignment="1" applyProtection="1">
      <alignment horizontal="left" vertical="center" wrapText="1" indent="1"/>
      <protection locked="0"/>
    </xf>
    <xf numFmtId="0" fontId="0" fillId="0" borderId="40" xfId="21" applyNumberFormat="1" applyFont="1" applyFill="1" applyBorder="1" applyAlignment="1" applyProtection="1">
      <alignment horizontal="left" vertical="center" wrapText="1" indent="1"/>
    </xf>
    <xf numFmtId="0" fontId="0" fillId="0" borderId="44" xfId="21" applyNumberFormat="1" applyFont="1" applyFill="1" applyBorder="1" applyAlignment="1" applyProtection="1">
      <alignment horizontal="left" vertical="center" wrapText="1" indent="1"/>
    </xf>
    <xf numFmtId="166" fontId="6" fillId="10" borderId="9" xfId="21" applyNumberFormat="1" applyFont="1" applyFill="1" applyBorder="1" applyAlignment="1" applyProtection="1">
      <alignment horizontal="left" vertical="center" wrapText="1" indent="1"/>
    </xf>
    <xf numFmtId="0" fontId="0" fillId="0" borderId="41" xfId="21" applyNumberFormat="1" applyFont="1" applyFill="1" applyBorder="1" applyAlignment="1" applyProtection="1">
      <alignment horizontal="left" vertical="center" wrapText="1" indent="1"/>
    </xf>
    <xf numFmtId="0" fontId="6" fillId="11" borderId="0" xfId="0" applyFont="1" applyFill="1" applyAlignment="1">
      <alignment horizontal="left" vertical="top" indent="1"/>
    </xf>
    <xf numFmtId="0" fontId="0" fillId="11" borderId="0" xfId="0" applyFill="1" applyAlignment="1">
      <alignment horizontal="left" vertical="top" wrapText="1" indent="1"/>
    </xf>
    <xf numFmtId="0" fontId="6" fillId="11" borderId="0" xfId="0" applyFont="1" applyFill="1" applyAlignment="1">
      <alignment horizontal="center" vertical="top"/>
    </xf>
    <xf numFmtId="166" fontId="0" fillId="0" borderId="40" xfId="21" applyNumberFormat="1" applyFont="1" applyFill="1" applyBorder="1" applyAlignment="1" applyProtection="1">
      <alignment horizontal="left" vertical="center" indent="1"/>
    </xf>
    <xf numFmtId="166" fontId="0" fillId="0" borderId="41" xfId="21" applyNumberFormat="1" applyFont="1" applyFill="1" applyBorder="1" applyAlignment="1" applyProtection="1">
      <alignment horizontal="left" vertical="center" indent="1"/>
    </xf>
    <xf numFmtId="0" fontId="0" fillId="9" borderId="0" xfId="0" applyFill="1" applyAlignment="1">
      <alignment horizontal="center"/>
    </xf>
    <xf numFmtId="166" fontId="6" fillId="10" borderId="23" xfId="21" applyNumberFormat="1" applyFont="1" applyFill="1" applyBorder="1" applyAlignment="1" applyProtection="1">
      <alignment horizontal="left" vertical="center" wrapText="1" indent="1"/>
    </xf>
    <xf numFmtId="166" fontId="6" fillId="10" borderId="38" xfId="21" applyNumberFormat="1" applyFont="1" applyFill="1" applyBorder="1" applyAlignment="1" applyProtection="1">
      <alignment horizontal="left" vertical="center" wrapText="1" indent="1"/>
    </xf>
    <xf numFmtId="166" fontId="6" fillId="10" borderId="29" xfId="21" applyNumberFormat="1" applyFont="1" applyFill="1" applyBorder="1" applyAlignment="1" applyProtection="1">
      <alignment horizontal="left" vertical="center" wrapText="1" indent="1"/>
    </xf>
    <xf numFmtId="166" fontId="6" fillId="10" borderId="30" xfId="21" applyNumberFormat="1" applyFont="1" applyFill="1" applyBorder="1" applyAlignment="1" applyProtection="1">
      <alignment horizontal="left" vertical="center" wrapText="1" indent="1"/>
    </xf>
    <xf numFmtId="166" fontId="6" fillId="10" borderId="39" xfId="21" applyNumberFormat="1" applyFont="1" applyFill="1" applyBorder="1" applyAlignment="1" applyProtection="1">
      <alignment horizontal="left" vertical="center" wrapText="1" indent="1"/>
    </xf>
    <xf numFmtId="166" fontId="6" fillId="10" borderId="0" xfId="21" applyNumberFormat="1" applyFont="1" applyFill="1" applyBorder="1" applyAlignment="1" applyProtection="1">
      <alignment horizontal="left" vertical="center" wrapText="1" indent="1"/>
    </xf>
  </cellXfs>
  <cellStyles count="23">
    <cellStyle name="Check Cell 2" xfId="4" xr:uid="{00000000-0005-0000-0000-000000000000}"/>
    <cellStyle name="Currency 2" xfId="6" xr:uid="{00000000-0005-0000-0000-000002000000}"/>
    <cellStyle name="Currency 3" xfId="17" xr:uid="{9E00B952-ABB6-4214-A3E4-4D16BDE39745}"/>
    <cellStyle name="Currency 4" xfId="21" xr:uid="{0DDC167A-E012-442A-B2C7-24D7D19CE2B7}"/>
    <cellStyle name="Header 25% Green" xfId="12" xr:uid="{4C4DFE6A-80D4-4ECC-95F0-7EB46A8C9046}"/>
    <cellStyle name="Heading 16pt" xfId="8" xr:uid="{E17D1F91-C992-4407-942B-A46159F78049}"/>
    <cellStyle name="Moeda" xfId="1" builtinId="4"/>
    <cellStyle name="Normal" xfId="0" builtinId="0"/>
    <cellStyle name="Normal 2" xfId="3" xr:uid="{00000000-0005-0000-0000-000004000000}"/>
    <cellStyle name="Normal 2 2" xfId="10" xr:uid="{467F74DB-D337-4DC3-9698-33A71EBEED56}"/>
    <cellStyle name="Normal 2 2 2" xfId="16" xr:uid="{F4F49671-18CF-473A-BC73-5CBC438E8287}"/>
    <cellStyle name="Normal 2 3" xfId="20" xr:uid="{B4531C09-7076-471D-92C6-0D6E744F44B0}"/>
    <cellStyle name="Normal 3" xfId="9" xr:uid="{8EFBE187-B4DD-4450-BE53-B48A4FFECEDA}"/>
    <cellStyle name="Normal 4" xfId="11" xr:uid="{C367EAA0-DFB0-4F59-A9B0-2F54BA581A33}"/>
    <cellStyle name="Normal 5" xfId="7" xr:uid="{6AA5F185-ADE6-46F6-A1A7-CBD07B0C84C4}"/>
    <cellStyle name="Percent 2" xfId="5" xr:uid="{00000000-0005-0000-0000-000006000000}"/>
    <cellStyle name="Percent 3" xfId="18" xr:uid="{5D237AA2-F4B5-4A7E-BEFC-EDE2A59ADDF5}"/>
    <cellStyle name="Percent 4" xfId="22" xr:uid="{A8077A3A-25ED-4A19-932E-E91B633FECF7}"/>
    <cellStyle name="Porcentagem" xfId="2" builtinId="5"/>
    <cellStyle name="Table Body Copy" xfId="14" xr:uid="{A16D356F-0F48-447E-B830-F83794FA8B4E}"/>
    <cellStyle name="Table Left Heading Bold" xfId="13" xr:uid="{E105A4D4-FC35-4172-B1B8-D66A9537A000}"/>
    <cellStyle name="Table Title Green" xfId="15" xr:uid="{F8303E80-D3D2-4FC2-959D-F6C7DA24B3EE}"/>
    <cellStyle name="Texto Explicativo" xfId="19" builtinId="53"/>
  </cellStyles>
  <dxfs count="43">
    <dxf>
      <font>
        <b val="0"/>
        <i/>
        <color theme="0" tint="-0.499984740745262"/>
      </font>
      <fill>
        <patternFill>
          <bgColor theme="0" tint="-4.9989318521683403E-2"/>
        </patternFill>
      </fill>
    </dxf>
    <dxf>
      <font>
        <b val="0"/>
        <i/>
        <color theme="0" tint="-0.499984740745262"/>
      </font>
      <fill>
        <patternFill>
          <bgColor theme="0"/>
        </patternFill>
      </fill>
    </dxf>
    <dxf>
      <font>
        <b val="0"/>
        <i/>
        <color theme="0" tint="-0.499984740745262"/>
      </font>
      <fill>
        <patternFill>
          <bgColor theme="0" tint="-4.9989318521683403E-2"/>
        </patternFill>
      </fill>
    </dxf>
    <dxf>
      <font>
        <b val="0"/>
        <i/>
        <color theme="0" tint="-0.499984740745262"/>
      </font>
      <fill>
        <patternFill>
          <bgColor theme="0"/>
        </patternFill>
      </fill>
    </dxf>
    <dxf>
      <font>
        <b val="0"/>
        <i/>
        <color theme="0" tint="-0.499984740745262"/>
      </font>
      <fill>
        <patternFill>
          <bgColor theme="0" tint="-4.9989318521683403E-2"/>
        </patternFill>
      </fill>
    </dxf>
    <dxf>
      <font>
        <b val="0"/>
        <i/>
        <color theme="0" tint="-0.499984740745262"/>
      </font>
      <fill>
        <patternFill>
          <bgColor theme="0"/>
        </patternFill>
      </fill>
    </dxf>
    <dxf>
      <font>
        <b val="0"/>
        <i/>
        <color theme="0" tint="-0.34998626667073579"/>
      </font>
      <fill>
        <patternFill>
          <bgColor theme="0"/>
        </patternFill>
      </fill>
    </dxf>
    <dxf>
      <font>
        <b val="0"/>
        <i/>
        <color theme="0" tint="-0.34998626667073579"/>
      </font>
      <fill>
        <patternFill>
          <bgColor theme="0" tint="-4.9989318521683403E-2"/>
        </patternFill>
      </fill>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fill>
        <patternFill patternType="none">
          <bgColor auto="1"/>
        </patternFill>
      </fill>
    </dxf>
    <dxf>
      <font>
        <b val="0"/>
        <i/>
        <color theme="0" tint="-0.34998626667073579"/>
      </font>
      <fill>
        <patternFill>
          <bgColor theme="0" tint="-4.9989318521683403E-2"/>
        </patternFill>
      </fill>
    </dxf>
    <dxf>
      <font>
        <b val="0"/>
        <i/>
        <color theme="0" tint="-0.34998626667073579"/>
      </font>
      <fill>
        <patternFill patternType="none">
          <bgColor auto="1"/>
        </patternFill>
      </fill>
    </dxf>
    <dxf>
      <font>
        <b val="0"/>
        <i/>
        <color theme="0" tint="-0.34998626667073579"/>
      </font>
      <fill>
        <patternFill>
          <bgColor theme="0" tint="-4.9989318521683403E-2"/>
        </patternFill>
      </fill>
    </dxf>
    <dxf>
      <font>
        <b val="0"/>
        <i/>
        <color theme="0" tint="-0.34998626667073579"/>
      </font>
      <fill>
        <patternFill patternType="none">
          <bgColor auto="1"/>
        </patternFill>
      </fill>
    </dxf>
    <dxf>
      <font>
        <b val="0"/>
        <i/>
        <color theme="0" tint="-0.34998626667073579"/>
      </font>
      <fill>
        <patternFill>
          <bgColor theme="0" tint="-4.9989318521683403E-2"/>
        </patternFill>
      </fill>
    </dxf>
    <dxf>
      <font>
        <b val="0"/>
        <i/>
        <color theme="0" tint="-0.34998626667073579"/>
      </font>
      <fill>
        <patternFill patternType="none">
          <bgColor auto="1"/>
        </patternFill>
      </fill>
    </dxf>
    <dxf>
      <font>
        <b val="0"/>
        <i/>
        <color theme="0" tint="-0.34998626667073579"/>
      </font>
      <fill>
        <patternFill patternType="solid">
          <bgColor theme="0" tint="-4.9989318521683403E-2"/>
        </patternFill>
      </fill>
    </dxf>
    <dxf>
      <font>
        <b val="0"/>
        <i/>
        <color theme="0" tint="-0.34998626667073579"/>
      </font>
      <fill>
        <patternFill patternType="none">
          <bgColor auto="1"/>
        </patternFill>
      </fill>
    </dxf>
    <dxf>
      <font>
        <b val="0"/>
        <i/>
        <color theme="0" tint="-0.34998626667073579"/>
      </font>
      <fill>
        <patternFill patternType="solid">
          <bgColor theme="0" tint="-4.9989318521683403E-2"/>
        </patternFill>
      </fill>
    </dxf>
    <dxf>
      <font>
        <b val="0"/>
        <i/>
        <color theme="0" tint="-0.34998626667073579"/>
      </font>
      <fill>
        <patternFill patternType="none">
          <bgColor auto="1"/>
        </patternFill>
      </fill>
    </dxf>
    <dxf>
      <font>
        <b val="0"/>
        <i/>
        <strike val="0"/>
        <color theme="0" tint="-0.34998626667073579"/>
      </font>
    </dxf>
    <dxf>
      <font>
        <b val="0"/>
        <i/>
        <strike val="0"/>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strike val="0"/>
        <color theme="0" tint="-0.34998626667073579"/>
      </font>
    </dxf>
    <dxf>
      <font>
        <b val="0"/>
        <i/>
        <strike val="0"/>
        <color theme="0" tint="-0.34998626667073579"/>
      </font>
    </dxf>
    <dxf>
      <font>
        <b val="0"/>
        <i/>
        <color theme="0" tint="-0.34998626667073579"/>
      </font>
      <fill>
        <patternFill>
          <bgColor theme="0" tint="-4.9989318521683403E-2"/>
        </patternFill>
      </fill>
    </dxf>
    <dxf>
      <font>
        <b val="0"/>
        <i/>
        <color theme="0" tint="-0.34998626667073579"/>
      </font>
      <fill>
        <patternFill patternType="solid">
          <bgColor theme="0"/>
        </patternFill>
      </fill>
    </dxf>
  </dxfs>
  <tableStyles count="0" defaultTableStyle="TableStyleMedium2" defaultPivotStyle="PivotStyleLight16"/>
  <colors>
    <mruColors>
      <color rgb="FF071D49"/>
      <color rgb="FF9D2235"/>
      <color rgb="FFEBD3D7"/>
      <color rgb="FFD9D9D9"/>
      <color rgb="FFD67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089-487E-B0D9-BF29393FE71A}"/>
            </c:ext>
          </c:extLst>
        </c:ser>
        <c:dLbls>
          <c:showLegendKey val="0"/>
          <c:showVal val="0"/>
          <c:showCatName val="0"/>
          <c:showSerName val="0"/>
          <c:showPercent val="0"/>
          <c:showBubbleSize val="0"/>
        </c:dLbls>
        <c:gapWidth val="150"/>
        <c:axId val="891702704"/>
        <c:axId val="891704344"/>
      </c:barChart>
      <c:lineChart>
        <c:grouping val="standard"/>
        <c:varyColors val="0"/>
        <c:ser>
          <c:idx val="1"/>
          <c:order val="1"/>
          <c:spPr>
            <a:ln w="28575" cap="rnd">
              <a:solidFill>
                <a:schemeClr val="accent2"/>
              </a:solidFill>
              <a:round/>
            </a:ln>
            <a:effectLst/>
          </c:spPr>
          <c:marker>
            <c:symbol val="square"/>
            <c:size val="5"/>
            <c:spPr>
              <a:solidFill>
                <a:srgbClr val="9D2221"/>
              </a:solidFill>
              <a:ln w="9525">
                <a:solidFill>
                  <a:srgbClr val="9D2221"/>
                </a:solidFill>
              </a:ln>
              <a:effectLst/>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089-487E-B0D9-BF29393FE71A}"/>
            </c:ext>
          </c:extLst>
        </c:ser>
        <c:dLbls>
          <c:showLegendKey val="0"/>
          <c:showVal val="0"/>
          <c:showCatName val="0"/>
          <c:showSerName val="0"/>
          <c:showPercent val="0"/>
          <c:showBubbleSize val="0"/>
        </c:dLbls>
        <c:marker val="1"/>
        <c:smooth val="0"/>
        <c:axId val="891694176"/>
        <c:axId val="891699424"/>
      </c:lineChart>
      <c:catAx>
        <c:axId val="89170270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Loss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title>
        <c:numFmt formatCode="\£0.00" sourceLinked="1"/>
        <c:majorTickMark val="out"/>
        <c:minorTickMark val="none"/>
        <c:tickLblPos val="nextTo"/>
        <c:spPr>
          <a:noFill/>
          <a:ln w="9525" cap="flat" cmpd="sng" algn="ctr">
            <a:solidFill>
              <a:srgbClr val="898989"/>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crossAx val="891704344"/>
        <c:crosses val="autoZero"/>
        <c:auto val="1"/>
        <c:lblAlgn val="ctr"/>
        <c:lblOffset val="100"/>
        <c:noMultiLvlLbl val="0"/>
      </c:catAx>
      <c:valAx>
        <c:axId val="891704344"/>
        <c:scaling>
          <c:orientation val="minMax"/>
        </c:scaling>
        <c:delete val="0"/>
        <c:axPos val="l"/>
        <c:majorGridlines>
          <c:spPr>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Count of Simulations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out"/>
        <c:minorTickMark val="none"/>
        <c:tickLblPos val="nextTo"/>
        <c:spPr>
          <a:noFill/>
          <a:ln>
            <a:solidFill>
              <a:srgbClr val="898989"/>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crossAx val="891702704"/>
        <c:crosses val="autoZero"/>
        <c:crossBetween val="between"/>
      </c:valAx>
      <c:valAx>
        <c:axId val="891699424"/>
        <c:scaling>
          <c:orientation val="minMax"/>
          <c:max val="1"/>
        </c:scaling>
        <c:delete val="0"/>
        <c:axPos val="r"/>
        <c:numFmt formatCode="General" sourceLinked="1"/>
        <c:majorTickMark val="out"/>
        <c:minorTickMark val="none"/>
        <c:tickLblPos val="nextTo"/>
        <c:spPr>
          <a:noFill/>
          <a:ln>
            <a:solidFill>
              <a:srgbClr val="89898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91694176"/>
        <c:crosses val="max"/>
        <c:crossBetween val="between"/>
      </c:valAx>
      <c:catAx>
        <c:axId val="891694176"/>
        <c:scaling>
          <c:orientation val="minMax"/>
        </c:scaling>
        <c:delete val="1"/>
        <c:axPos val="b"/>
        <c:majorTickMark val="out"/>
        <c:minorTickMark val="none"/>
        <c:tickLblPos val="nextTo"/>
        <c:crossAx val="8916994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2F2F2">
          <a:lumMod val="95000"/>
        </a:srgbClr>
      </a:solidFill>
      <a:prstDash val="solid"/>
      <a:round/>
      <a:headEnd type="none" w="med" len="med"/>
      <a:tailEnd type="none" w="med" len="me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Actual Loss</c:v>
          </c:tx>
          <c:spPr>
            <a:ln w="38100" cap="rnd" cmpd="sng" algn="ctr">
              <a:solidFill>
                <a:srgbClr val="071D49"/>
              </a:solidFill>
              <a:prstDash val="solid"/>
              <a:round/>
              <a:headEnd type="none" w="med" len="med"/>
              <a:tailEnd type="none" w="med" len="med"/>
            </a:ln>
          </c:spPr>
          <c:marker>
            <c:symbol val="none"/>
          </c:marker>
          <c:xVal>
            <c:numRef>
              <c:f>Communicate_Data!$A$2:$A$104</c:f>
              <c:numCache>
                <c:formatCode>\£0.00</c:formatCode>
                <c:ptCount val="103"/>
              </c:numCache>
            </c:numRef>
          </c:xVal>
          <c:yVal>
            <c:numRef>
              <c:f>Communicate_Data!$D$2:$D$104</c:f>
              <c:numCache>
                <c:formatCode>0%</c:formatCode>
                <c:ptCount val="103"/>
              </c:numCache>
            </c:numRef>
          </c:yVal>
          <c:smooth val="1"/>
          <c:extLst>
            <c:ext xmlns:c16="http://schemas.microsoft.com/office/drawing/2014/chart" uri="{C3380CC4-5D6E-409C-BE32-E72D297353CC}">
              <c16:uniqueId val="{00000000-A04A-47EF-950B-746A0B443F94}"/>
            </c:ext>
          </c:extLst>
        </c:ser>
        <c:ser>
          <c:idx val="1"/>
          <c:order val="1"/>
          <c:tx>
            <c:v>Acceptable Loss</c:v>
          </c:tx>
          <c:spPr>
            <a:ln w="38100" cap="rnd" cmpd="sng" algn="ctr">
              <a:solidFill>
                <a:srgbClr val="9D2235"/>
              </a:solidFill>
              <a:prstDash val="solid"/>
              <a:round/>
              <a:headEnd type="none" w="med" len="med"/>
              <a:tailEnd type="none" w="med" len="med"/>
            </a:ln>
          </c:spPr>
          <c:marker>
            <c:symbol val="none"/>
          </c:marker>
          <c:xVal>
            <c:numRef>
              <c:f>Communicate!$I$63:$I$67</c:f>
              <c:numCache>
                <c:formatCode>"£"#,##0.00</c:formatCode>
                <c:ptCount val="5"/>
                <c:pt idx="0">
                  <c:v>0</c:v>
                </c:pt>
                <c:pt idx="1">
                  <c:v>0</c:v>
                </c:pt>
                <c:pt idx="2">
                  <c:v>0</c:v>
                </c:pt>
                <c:pt idx="3">
                  <c:v>0</c:v>
                </c:pt>
                <c:pt idx="4">
                  <c:v>0</c:v>
                </c:pt>
              </c:numCache>
            </c:numRef>
          </c:xVal>
          <c:yVal>
            <c:numRef>
              <c:f>Communicate!$G$63:$G$67</c:f>
              <c:numCache>
                <c:formatCode>0%</c:formatCode>
                <c:ptCount val="5"/>
                <c:pt idx="0">
                  <c:v>1</c:v>
                </c:pt>
                <c:pt idx="1">
                  <c:v>0.75</c:v>
                </c:pt>
                <c:pt idx="2">
                  <c:v>0.5</c:v>
                </c:pt>
                <c:pt idx="3">
                  <c:v>0.25</c:v>
                </c:pt>
                <c:pt idx="4">
                  <c:v>0</c:v>
                </c:pt>
              </c:numCache>
            </c:numRef>
          </c:yVal>
          <c:smooth val="1"/>
          <c:extLst>
            <c:ext xmlns:c16="http://schemas.microsoft.com/office/drawing/2014/chart" uri="{C3380CC4-5D6E-409C-BE32-E72D297353CC}">
              <c16:uniqueId val="{00000001-A04A-47EF-950B-746A0B443F94}"/>
            </c:ext>
          </c:extLst>
        </c:ser>
        <c:dLbls>
          <c:showLegendKey val="0"/>
          <c:showVal val="0"/>
          <c:showCatName val="0"/>
          <c:showSerName val="0"/>
          <c:showPercent val="0"/>
          <c:showBubbleSize val="0"/>
        </c:dLbls>
        <c:axId val="891691880"/>
        <c:axId val="891701392"/>
      </c:scatterChart>
      <c:valAx>
        <c:axId val="891691880"/>
        <c:scaling>
          <c:orientation val="minMax"/>
          <c:max val="100000"/>
          <c:min val="0"/>
        </c:scaling>
        <c:delete val="0"/>
        <c:axPos val="b"/>
        <c:numFmt formatCode="\£0.00" sourceLinked="1"/>
        <c:majorTickMark val="out"/>
        <c:minorTickMark val="none"/>
        <c:tickLblPos val="nextTo"/>
        <c:crossAx val="891701392"/>
        <c:crosses val="autoZero"/>
        <c:crossBetween val="midCat"/>
      </c:valAx>
      <c:valAx>
        <c:axId val="891701392"/>
        <c:scaling>
          <c:orientation val="minMax"/>
          <c:max val="1"/>
        </c:scaling>
        <c:delete val="0"/>
        <c:axPos val="l"/>
        <c:majorGridlines>
          <c:spPr>
            <a:ln w="6350" cap="flat" cmpd="sng" algn="ctr">
              <a:solidFill>
                <a:srgbClr val="D9D9D9"/>
              </a:solidFill>
              <a:prstDash val="solid"/>
              <a:round/>
              <a:headEnd type="none" w="med" len="med"/>
              <a:tailEnd type="none" w="med" len="med"/>
            </a:ln>
          </c:spPr>
        </c:majorGridlines>
        <c:numFmt formatCode="0%" sourceLinked="1"/>
        <c:majorTickMark val="out"/>
        <c:minorTickMark val="none"/>
        <c:tickLblPos val="nextTo"/>
        <c:crossAx val="891691880"/>
        <c:crosses val="autoZero"/>
        <c:crossBetween val="midCat"/>
        <c:majorUnit val="0.2"/>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6350" cap="flat" cmpd="sng" algn="ctr">
      <a:solidFill>
        <a:srgbClr val="F2F2F2">
          <a:lumMod val="95000"/>
        </a:srgbClr>
      </a:solidFill>
      <a:prstDash val="solid"/>
      <a:round/>
      <a:headEnd type="none" w="med" len="med"/>
      <a:tailEnd type="none" w="med" len="me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BAD9-4FEC-ADD2-DF6020D586A9}"/>
            </c:ext>
          </c:extLst>
        </c:ser>
        <c:dLbls>
          <c:showLegendKey val="0"/>
          <c:showVal val="0"/>
          <c:showCatName val="0"/>
          <c:showSerName val="0"/>
          <c:showPercent val="0"/>
          <c:showBubbleSize val="0"/>
        </c:dLbls>
        <c:gapWidth val="150"/>
        <c:axId val="891700080"/>
        <c:axId val="891702048"/>
      </c:barChart>
      <c:lineChart>
        <c:grouping val="standard"/>
        <c:varyColors val="0"/>
        <c:ser>
          <c:idx val="1"/>
          <c:order val="1"/>
          <c:spPr>
            <a:ln w="28575" cap="rnd">
              <a:solidFill>
                <a:schemeClr val="accent2"/>
              </a:solidFill>
              <a:round/>
            </a:ln>
            <a:effectLst/>
          </c:spPr>
          <c:marker>
            <c:symbol val="square"/>
            <c:size val="5"/>
            <c:spPr>
              <a:solidFill>
                <a:srgbClr val="9D2221"/>
              </a:solidFill>
              <a:ln w="9525">
                <a:solidFill>
                  <a:srgbClr val="9D2221"/>
                </a:solidFill>
              </a:ln>
              <a:effectLst/>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BAD9-4FEC-ADD2-DF6020D586A9}"/>
            </c:ext>
          </c:extLst>
        </c:ser>
        <c:dLbls>
          <c:showLegendKey val="0"/>
          <c:showVal val="0"/>
          <c:showCatName val="0"/>
          <c:showSerName val="0"/>
          <c:showPercent val="0"/>
          <c:showBubbleSize val="0"/>
        </c:dLbls>
        <c:marker val="1"/>
        <c:smooth val="0"/>
        <c:axId val="891694832"/>
        <c:axId val="891705984"/>
      </c:lineChart>
      <c:catAx>
        <c:axId val="89170008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Loss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title>
        <c:numFmt formatCode="\£0.00" sourceLinked="1"/>
        <c:majorTickMark val="out"/>
        <c:minorTickMark val="none"/>
        <c:tickLblPos val="nextTo"/>
        <c:spPr>
          <a:noFill/>
          <a:ln w="9525" cap="flat" cmpd="sng" algn="ctr">
            <a:solidFill>
              <a:srgbClr val="898989"/>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crossAx val="891702048"/>
        <c:crosses val="autoZero"/>
        <c:auto val="1"/>
        <c:lblAlgn val="ctr"/>
        <c:lblOffset val="100"/>
        <c:noMultiLvlLbl val="0"/>
      </c:catAx>
      <c:valAx>
        <c:axId val="891702048"/>
        <c:scaling>
          <c:orientation val="minMax"/>
        </c:scaling>
        <c:delete val="0"/>
        <c:axPos val="l"/>
        <c:majorGridlines>
          <c:spPr>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Count of Simulations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out"/>
        <c:minorTickMark val="none"/>
        <c:tickLblPos val="nextTo"/>
        <c:spPr>
          <a:noFill/>
          <a:ln>
            <a:solidFill>
              <a:srgbClr val="898989"/>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crossAx val="891700080"/>
        <c:crosses val="autoZero"/>
        <c:crossBetween val="between"/>
      </c:valAx>
      <c:valAx>
        <c:axId val="891705984"/>
        <c:scaling>
          <c:orientation val="minMax"/>
          <c:max val="1"/>
        </c:scaling>
        <c:delete val="0"/>
        <c:axPos val="r"/>
        <c:numFmt formatCode="General" sourceLinked="1"/>
        <c:majorTickMark val="out"/>
        <c:minorTickMark val="none"/>
        <c:tickLblPos val="nextTo"/>
        <c:spPr>
          <a:noFill/>
          <a:ln>
            <a:solidFill>
              <a:srgbClr val="89898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91694832"/>
        <c:crosses val="max"/>
        <c:crossBetween val="between"/>
      </c:valAx>
      <c:catAx>
        <c:axId val="891694832"/>
        <c:scaling>
          <c:orientation val="minMax"/>
        </c:scaling>
        <c:delete val="1"/>
        <c:axPos val="b"/>
        <c:majorTickMark val="out"/>
        <c:minorTickMark val="none"/>
        <c:tickLblPos val="nextTo"/>
        <c:crossAx val="8917059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2F2F2">
          <a:lumMod val="95000"/>
        </a:srgbClr>
      </a:solidFill>
      <a:prstDash val="solid"/>
      <a:round/>
      <a:headEnd type="none" w="med" len="med"/>
      <a:tailEnd type="none" w="med" len="me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Untreated VaR</c:v>
          </c:tx>
          <c:spPr>
            <a:ln w="38100" cap="rnd" cmpd="sng" algn="ctr">
              <a:solidFill>
                <a:srgbClr val="071D49"/>
              </a:solidFill>
              <a:prstDash val="solid"/>
              <a:round/>
              <a:headEnd type="none" w="med" len="med"/>
              <a:tailEnd type="none" w="med" len="med"/>
            </a:ln>
          </c:spPr>
          <c:marker>
            <c:symbol val="none"/>
          </c:marker>
          <c:xVal>
            <c:numRef>
              <c:f>Treatment_Data!$A$2:$A$104</c:f>
              <c:numCache>
                <c:formatCode>"£"#,##0.00</c:formatCode>
                <c:ptCount val="103"/>
              </c:numCache>
            </c:numRef>
          </c:xVal>
          <c:yVal>
            <c:numRef>
              <c:f>Treatment_Data!$B$2:$B$104</c:f>
              <c:numCache>
                <c:formatCode>General</c:formatCode>
                <c:ptCount val="103"/>
              </c:numCache>
            </c:numRef>
          </c:yVal>
          <c:smooth val="0"/>
          <c:extLst>
            <c:ext xmlns:c16="http://schemas.microsoft.com/office/drawing/2014/chart" uri="{C3380CC4-5D6E-409C-BE32-E72D297353CC}">
              <c16:uniqueId val="{00000000-D048-4C4A-8582-687E61C3155F}"/>
            </c:ext>
          </c:extLst>
        </c:ser>
        <c:ser>
          <c:idx val="1"/>
          <c:order val="1"/>
          <c:tx>
            <c:v>Treated VaR</c:v>
          </c:tx>
          <c:spPr>
            <a:ln w="38100" cap="rnd" cmpd="sng" algn="ctr">
              <a:solidFill>
                <a:srgbClr val="9D2235"/>
              </a:solidFill>
              <a:prstDash val="solid"/>
              <a:round/>
              <a:headEnd type="none" w="med" len="med"/>
              <a:tailEnd type="none" w="med" len="med"/>
            </a:ln>
          </c:spPr>
          <c:marker>
            <c:symbol val="none"/>
          </c:marker>
          <c:xVal>
            <c:numRef>
              <c:f>Treatment_Data!$E$2:$E$104</c:f>
              <c:numCache>
                <c:formatCode>"£"#,##0.00</c:formatCode>
                <c:ptCount val="103"/>
              </c:numCache>
            </c:numRef>
          </c:xVal>
          <c:yVal>
            <c:numRef>
              <c:f>Treatment_Data!$F$2:$F$104</c:f>
              <c:numCache>
                <c:formatCode>General</c:formatCode>
                <c:ptCount val="103"/>
              </c:numCache>
            </c:numRef>
          </c:yVal>
          <c:smooth val="0"/>
          <c:extLst>
            <c:ext xmlns:c16="http://schemas.microsoft.com/office/drawing/2014/chart" uri="{C3380CC4-5D6E-409C-BE32-E72D297353CC}">
              <c16:uniqueId val="{00000001-D048-4C4A-8582-687E61C3155F}"/>
            </c:ext>
          </c:extLst>
        </c:ser>
        <c:dLbls>
          <c:showLegendKey val="0"/>
          <c:showVal val="0"/>
          <c:showCatName val="0"/>
          <c:showSerName val="0"/>
          <c:showPercent val="0"/>
          <c:showBubbleSize val="0"/>
        </c:dLbls>
        <c:axId val="646310400"/>
        <c:axId val="646307448"/>
      </c:scatterChart>
      <c:valAx>
        <c:axId val="646310400"/>
        <c:scaling>
          <c:orientation val="minMax"/>
          <c:max val="376763.57819025026"/>
          <c:min val="0"/>
        </c:scaling>
        <c:delete val="0"/>
        <c:axPos val="b"/>
        <c:numFmt formatCode="\£#,##0.00" sourceLinked="0"/>
        <c:majorTickMark val="none"/>
        <c:minorTickMark val="none"/>
        <c:tickLblPos val="nextTo"/>
        <c:txPr>
          <a:bodyPr rot="2700000" vert="horz"/>
          <a:lstStyle/>
          <a:p>
            <a:pPr>
              <a:defRPr/>
            </a:pPr>
            <a:endParaRPr lang="pt-BR"/>
          </a:p>
        </c:txPr>
        <c:crossAx val="646307448"/>
        <c:crosses val="autoZero"/>
        <c:crossBetween val="midCat"/>
      </c:valAx>
      <c:valAx>
        <c:axId val="646307448"/>
        <c:scaling>
          <c:orientation val="minMax"/>
        </c:scaling>
        <c:delete val="0"/>
        <c:axPos val="l"/>
        <c:numFmt formatCode="General" sourceLinked="1"/>
        <c:majorTickMark val="none"/>
        <c:minorTickMark val="none"/>
        <c:tickLblPos val="nextTo"/>
        <c:crossAx val="646310400"/>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6350" cap="flat" cmpd="sng" algn="ctr">
      <a:solidFill>
        <a:srgbClr val="F2F2F2">
          <a:lumMod val="95000"/>
        </a:srgbClr>
      </a:solidFill>
      <a:prstDash val="solid"/>
      <a:round/>
      <a:headEnd type="none" w="med" len="med"/>
      <a:tailEnd type="none" w="med" len="me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Actual Loss</c:v>
          </c:tx>
          <c:spPr>
            <a:ln w="38100" cap="rnd" cmpd="sng" algn="ctr">
              <a:solidFill>
                <a:srgbClr val="071D49"/>
              </a:solidFill>
              <a:prstDash val="solid"/>
              <a:round/>
              <a:headEnd type="none" w="med" len="med"/>
              <a:tailEnd type="none" w="med" len="med"/>
            </a:ln>
          </c:spPr>
          <c:marker>
            <c:symbol val="none"/>
          </c:marker>
          <c:xVal>
            <c:numRef>
              <c:f>Treatment_Data!$A$2:$A$104</c:f>
              <c:numCache>
                <c:formatCode>"£"#,##0.00</c:formatCode>
                <c:ptCount val="103"/>
              </c:numCache>
            </c:numRef>
          </c:xVal>
          <c:yVal>
            <c:numRef>
              <c:f>Treatment_Data!$D$2:$D$104</c:f>
              <c:numCache>
                <c:formatCode>0%</c:formatCode>
                <c:ptCount val="103"/>
              </c:numCache>
            </c:numRef>
          </c:yVal>
          <c:smooth val="1"/>
          <c:extLst>
            <c:ext xmlns:c16="http://schemas.microsoft.com/office/drawing/2014/chart" uri="{C3380CC4-5D6E-409C-BE32-E72D297353CC}">
              <c16:uniqueId val="{00000000-01E6-4337-9AEE-C02116FE886C}"/>
            </c:ext>
          </c:extLst>
        </c:ser>
        <c:ser>
          <c:idx val="1"/>
          <c:order val="1"/>
          <c:tx>
            <c:v>Acceptable Loss</c:v>
          </c:tx>
          <c:spPr>
            <a:ln w="38100" cap="rnd" cmpd="sng" algn="ctr">
              <a:solidFill>
                <a:srgbClr val="9D2235"/>
              </a:solidFill>
              <a:prstDash val="solid"/>
              <a:round/>
              <a:headEnd type="none" w="med" len="med"/>
              <a:tailEnd type="none" w="med" len="med"/>
            </a:ln>
          </c:spPr>
          <c:marker>
            <c:symbol val="none"/>
          </c:marker>
          <c:xVal>
            <c:numRef>
              <c:f>Communicate!$I$63:$I$67</c:f>
              <c:numCache>
                <c:formatCode>"£"#,##0.00</c:formatCode>
                <c:ptCount val="5"/>
                <c:pt idx="0">
                  <c:v>0</c:v>
                </c:pt>
                <c:pt idx="1">
                  <c:v>0</c:v>
                </c:pt>
                <c:pt idx="2">
                  <c:v>0</c:v>
                </c:pt>
                <c:pt idx="3">
                  <c:v>0</c:v>
                </c:pt>
                <c:pt idx="4">
                  <c:v>0</c:v>
                </c:pt>
              </c:numCache>
            </c:numRef>
          </c:xVal>
          <c:yVal>
            <c:numRef>
              <c:f>Communicate!$G$63:$G$67</c:f>
              <c:numCache>
                <c:formatCode>0%</c:formatCode>
                <c:ptCount val="5"/>
                <c:pt idx="0">
                  <c:v>1</c:v>
                </c:pt>
                <c:pt idx="1">
                  <c:v>0.75</c:v>
                </c:pt>
                <c:pt idx="2">
                  <c:v>0.5</c:v>
                </c:pt>
                <c:pt idx="3">
                  <c:v>0.25</c:v>
                </c:pt>
                <c:pt idx="4">
                  <c:v>0</c:v>
                </c:pt>
              </c:numCache>
            </c:numRef>
          </c:yVal>
          <c:smooth val="1"/>
          <c:extLst>
            <c:ext xmlns:c16="http://schemas.microsoft.com/office/drawing/2014/chart" uri="{C3380CC4-5D6E-409C-BE32-E72D297353CC}">
              <c16:uniqueId val="{00000001-01E6-4337-9AEE-C02116FE886C}"/>
            </c:ext>
          </c:extLst>
        </c:ser>
        <c:ser>
          <c:idx val="2"/>
          <c:order val="2"/>
          <c:tx>
            <c:v>Treated Loss</c:v>
          </c:tx>
          <c:spPr>
            <a:ln w="38100" cap="rnd" cmpd="sng" algn="ctr">
              <a:solidFill>
                <a:srgbClr val="7A9A01"/>
              </a:solidFill>
              <a:prstDash val="solid"/>
              <a:round/>
              <a:headEnd type="none" w="med" len="med"/>
              <a:tailEnd type="none" w="med" len="med"/>
            </a:ln>
          </c:spPr>
          <c:marker>
            <c:symbol val="none"/>
          </c:marker>
          <c:xVal>
            <c:numRef>
              <c:f>Treatment_Data!$E$2:$E$104</c:f>
              <c:numCache>
                <c:formatCode>"£"#,##0.00</c:formatCode>
                <c:ptCount val="103"/>
              </c:numCache>
            </c:numRef>
          </c:xVal>
          <c:yVal>
            <c:numRef>
              <c:f>Treatment_Data!$H$2:$H$104</c:f>
              <c:numCache>
                <c:formatCode>0.00%</c:formatCode>
                <c:ptCount val="103"/>
              </c:numCache>
            </c:numRef>
          </c:yVal>
          <c:smooth val="1"/>
          <c:extLst>
            <c:ext xmlns:c16="http://schemas.microsoft.com/office/drawing/2014/chart" uri="{C3380CC4-5D6E-409C-BE32-E72D297353CC}">
              <c16:uniqueId val="{00000002-01E6-4337-9AEE-C02116FE886C}"/>
            </c:ext>
          </c:extLst>
        </c:ser>
        <c:dLbls>
          <c:showLegendKey val="0"/>
          <c:showVal val="0"/>
          <c:showCatName val="0"/>
          <c:showSerName val="0"/>
          <c:showPercent val="0"/>
          <c:showBubbleSize val="0"/>
        </c:dLbls>
        <c:axId val="646309744"/>
        <c:axId val="646311056"/>
      </c:scatterChart>
      <c:valAx>
        <c:axId val="646309744"/>
        <c:scaling>
          <c:orientation val="minMax"/>
          <c:max val="376763.57819025026"/>
          <c:min val="0"/>
        </c:scaling>
        <c:delete val="0"/>
        <c:axPos val="b"/>
        <c:numFmt formatCode="\£#,##0.00" sourceLinked="0"/>
        <c:majorTickMark val="none"/>
        <c:minorTickMark val="none"/>
        <c:tickLblPos val="nextTo"/>
        <c:txPr>
          <a:bodyPr rot="2700000" vert="horz"/>
          <a:lstStyle/>
          <a:p>
            <a:pPr>
              <a:defRPr/>
            </a:pPr>
            <a:endParaRPr lang="pt-BR"/>
          </a:p>
        </c:txPr>
        <c:crossAx val="646311056"/>
        <c:crosses val="autoZero"/>
        <c:crossBetween val="midCat"/>
      </c:valAx>
      <c:valAx>
        <c:axId val="646311056"/>
        <c:scaling>
          <c:orientation val="minMax"/>
          <c:max val="1"/>
        </c:scaling>
        <c:delete val="0"/>
        <c:axPos val="l"/>
        <c:numFmt formatCode="0%" sourceLinked="1"/>
        <c:majorTickMark val="none"/>
        <c:minorTickMark val="none"/>
        <c:tickLblPos val="nextTo"/>
        <c:crossAx val="646309744"/>
        <c:crosses val="autoZero"/>
        <c:crossBetween val="midCat"/>
        <c:majorUnit val="0.2"/>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6350" cap="flat" cmpd="sng" algn="ctr">
      <a:solidFill>
        <a:srgbClr val="F2F2F2">
          <a:lumMod val="95000"/>
        </a:srgbClr>
      </a:solidFill>
      <a:prstDash val="solid"/>
      <a:round/>
      <a:headEnd type="none" w="med" len="med"/>
      <a:tailEnd type="none" w="med" len="med"/>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6.jpeg"/><Relationship Id="rId1" Type="http://schemas.openxmlformats.org/officeDocument/2006/relationships/image" Target="../media/image5.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image" Target="../media/image7.jpeg"/><Relationship Id="rId4"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jpeg"/><Relationship Id="rId1" Type="http://schemas.openxmlformats.org/officeDocument/2006/relationships/image" Target="../media/image9.jpeg"/><Relationship Id="rId4"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6.jpeg"/><Relationship Id="rId1" Type="http://schemas.openxmlformats.org/officeDocument/2006/relationships/image" Target="../media/image10.jpe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6.jpeg"/><Relationship Id="rId1" Type="http://schemas.openxmlformats.org/officeDocument/2006/relationships/image" Target="../media/image11.jpeg"/><Relationship Id="rId5" Type="http://schemas.openxmlformats.org/officeDocument/2006/relationships/image" Target="../media/image12.png"/><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xml"/><Relationship Id="rId3" Type="http://schemas.openxmlformats.org/officeDocument/2006/relationships/hyperlink" Target="#Simulate!A1"/><Relationship Id="rId7" Type="http://schemas.openxmlformats.org/officeDocument/2006/relationships/image" Target="../media/image14.png"/><Relationship Id="rId2" Type="http://schemas.openxmlformats.org/officeDocument/2006/relationships/image" Target="../media/image13.jpeg"/><Relationship Id="rId1" Type="http://schemas.openxmlformats.org/officeDocument/2006/relationships/image" Target="../media/image7.jpeg"/><Relationship Id="rId6" Type="http://schemas.openxmlformats.org/officeDocument/2006/relationships/image" Target="../media/image2.png"/><Relationship Id="rId5" Type="http://schemas.openxmlformats.org/officeDocument/2006/relationships/hyperlink" Target="#'Treatment (Collection)'!A1"/><Relationship Id="rId4" Type="http://schemas.openxmlformats.org/officeDocument/2006/relationships/image" Target="../media/image4.png"/><Relationship Id="rId9" Type="http://schemas.openxmlformats.org/officeDocument/2006/relationships/chart" Target="../charts/chart2.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jpeg"/><Relationship Id="rId1" Type="http://schemas.openxmlformats.org/officeDocument/2006/relationships/image" Target="../media/image15.jpeg"/><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6.jpeg"/><Relationship Id="rId1" Type="http://schemas.openxmlformats.org/officeDocument/2006/relationships/image" Target="../media/image15.jpeg"/><Relationship Id="rId5" Type="http://schemas.openxmlformats.org/officeDocument/2006/relationships/image" Target="../media/image16.png"/><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4.png"/><Relationship Id="rId7" Type="http://schemas.openxmlformats.org/officeDocument/2006/relationships/chart" Target="../charts/chart4.xml"/><Relationship Id="rId2" Type="http://schemas.openxmlformats.org/officeDocument/2006/relationships/image" Target="../media/image6.jpeg"/><Relationship Id="rId1" Type="http://schemas.openxmlformats.org/officeDocument/2006/relationships/image" Target="../media/image15.jpeg"/><Relationship Id="rId6" Type="http://schemas.openxmlformats.org/officeDocument/2006/relationships/chart" Target="../charts/chart3.xml"/><Relationship Id="rId5" Type="http://schemas.openxmlformats.org/officeDocument/2006/relationships/image" Target="../media/image14.png"/><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900551</xdr:colOff>
      <xdr:row>20</xdr:row>
      <xdr:rowOff>5890</xdr:rowOff>
    </xdr:from>
    <xdr:to>
      <xdr:col>2</xdr:col>
      <xdr:colOff>12173822</xdr:colOff>
      <xdr:row>27</xdr:row>
      <xdr:rowOff>164525</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909210" y="3997731"/>
          <a:ext cx="12987771" cy="1492135"/>
        </a:xfrm>
        <a:prstGeom prst="rect">
          <a:avLst/>
        </a:prstGeom>
        <a:noFill/>
        <a:ln w="9525">
          <a:noFill/>
          <a:miter lim="800000"/>
          <a:headEnd/>
          <a:tailEnd/>
        </a:ln>
      </xdr:spPr>
      <xdr:txBody>
        <a:bodyPr vertOverflow="clip" wrap="square" lIns="82296" tIns="100584" rIns="82296" bIns="0" anchor="t" upright="1"/>
        <a:lstStyle/>
        <a:p>
          <a:pPr algn="ctr" rtl="0"/>
          <a:r>
            <a:rPr lang="en-GB" sz="4400" b="1" i="0" baseline="0">
              <a:solidFill>
                <a:sysClr val="windowText" lastClr="000000"/>
              </a:solidFill>
              <a:effectLst/>
              <a:latin typeface="+mn-lt"/>
              <a:ea typeface="+mn-ea"/>
              <a:cs typeface="+mn-cs"/>
            </a:rPr>
            <a:t>Quantitative Information Risk Analysis </a:t>
          </a:r>
        </a:p>
        <a:p>
          <a:pPr algn="ctr" rtl="0"/>
          <a:r>
            <a:rPr lang="en-GB" sz="4400" b="0" i="0" baseline="0">
              <a:solidFill>
                <a:sysClr val="windowText" lastClr="000000"/>
              </a:solidFill>
              <a:effectLst/>
              <a:latin typeface="+mn-lt"/>
              <a:ea typeface="+mn-ea"/>
              <a:cs typeface="+mn-cs"/>
            </a:rPr>
            <a:t>Accelerator Tool</a:t>
          </a:r>
          <a:endParaRPr lang="en-GB" sz="4400" b="0" i="0">
            <a:solidFill>
              <a:sysClr val="windowText" lastClr="000000"/>
            </a:solidFill>
            <a:effectLst/>
          </a:endParaRPr>
        </a:p>
      </xdr:txBody>
    </xdr:sp>
    <xdr:clientData/>
  </xdr:twoCellAnchor>
  <xdr:twoCellAnchor editAs="absolute">
    <xdr:from>
      <xdr:col>1</xdr:col>
      <xdr:colOff>161925</xdr:colOff>
      <xdr:row>1</xdr:row>
      <xdr:rowOff>171450</xdr:rowOff>
    </xdr:from>
    <xdr:to>
      <xdr:col>1</xdr:col>
      <xdr:colOff>1584671</xdr:colOff>
      <xdr:row>1</xdr:row>
      <xdr:rowOff>609290</xdr:rowOff>
    </xdr:to>
    <xdr:pic>
      <xdr:nvPicPr>
        <xdr:cNvPr id="6" name="Logo" descr="ISF logo_red text.jpg">
          <a:extLst>
            <a:ext uri="{FF2B5EF4-FFF2-40B4-BE49-F238E27FC236}">
              <a16:creationId xmlns:a16="http://schemas.microsoft.com/office/drawing/2014/main" id="{18BAB6C4-35B1-494D-9D27-38C99CE94D2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1</xdr:col>
      <xdr:colOff>950100</xdr:colOff>
      <xdr:row>4</xdr:row>
      <xdr:rowOff>54750</xdr:rowOff>
    </xdr:from>
    <xdr:to>
      <xdr:col>1</xdr:col>
      <xdr:colOff>1550100</xdr:colOff>
      <xdr:row>8</xdr:row>
      <xdr:rowOff>45131</xdr:rowOff>
    </xdr:to>
    <xdr:pic macro="[0]!GoForwards">
      <xdr:nvPicPr>
        <xdr:cNvPr id="10" name="Picture 9">
          <a:extLst>
            <a:ext uri="{FF2B5EF4-FFF2-40B4-BE49-F238E27FC236}">
              <a16:creationId xmlns:a16="http://schemas.microsoft.com/office/drawing/2014/main" id="{B1B047E1-69AC-4F97-8E76-2A8E5BA660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9625" y="997725"/>
          <a:ext cx="600000" cy="752381"/>
        </a:xfrm>
        <a:prstGeom prst="rect">
          <a:avLst/>
        </a:prstGeom>
      </xdr:spPr>
    </xdr:pic>
    <xdr:clientData/>
  </xdr:twoCellAnchor>
  <xdr:twoCellAnchor editAs="oneCell">
    <xdr:from>
      <xdr:col>2</xdr:col>
      <xdr:colOff>2030163</xdr:colOff>
      <xdr:row>5</xdr:row>
      <xdr:rowOff>174596</xdr:rowOff>
    </xdr:from>
    <xdr:to>
      <xdr:col>2</xdr:col>
      <xdr:colOff>9325847</xdr:colOff>
      <xdr:row>19</xdr:row>
      <xdr:rowOff>98982</xdr:rowOff>
    </xdr:to>
    <xdr:pic>
      <xdr:nvPicPr>
        <xdr:cNvPr id="7" name="Picture 6">
          <a:extLst>
            <a:ext uri="{FF2B5EF4-FFF2-40B4-BE49-F238E27FC236}">
              <a16:creationId xmlns:a16="http://schemas.microsoft.com/office/drawing/2014/main" id="{8B19A620-A0CB-451A-9C74-01771AE077FE}"/>
            </a:ext>
          </a:extLst>
        </xdr:cNvPr>
        <xdr:cNvPicPr>
          <a:picLocks noChangeAspect="1"/>
        </xdr:cNvPicPr>
      </xdr:nvPicPr>
      <xdr:blipFill>
        <a:blip xmlns:r="http://schemas.openxmlformats.org/officeDocument/2006/relationships" r:embed="rId3"/>
        <a:stretch>
          <a:fillRect/>
        </a:stretch>
      </xdr:blipFill>
      <xdr:spPr>
        <a:xfrm>
          <a:off x="3753322" y="1308937"/>
          <a:ext cx="7295684" cy="25913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1</xdr:row>
      <xdr:rowOff>171450</xdr:rowOff>
    </xdr:from>
    <xdr:to>
      <xdr:col>1</xdr:col>
      <xdr:colOff>1584671</xdr:colOff>
      <xdr:row>1</xdr:row>
      <xdr:rowOff>609290</xdr:rowOff>
    </xdr:to>
    <xdr:pic>
      <xdr:nvPicPr>
        <xdr:cNvPr id="4" name="Logo" descr="ISF logo_red text.jpg">
          <a:extLst>
            <a:ext uri="{FF2B5EF4-FFF2-40B4-BE49-F238E27FC236}">
              <a16:creationId xmlns:a16="http://schemas.microsoft.com/office/drawing/2014/main" id="{3AC4B114-C5FC-4679-B2F7-C2581C47679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1</xdr:col>
      <xdr:colOff>209550</xdr:colOff>
      <xdr:row>4</xdr:row>
      <xdr:rowOff>52388</xdr:rowOff>
    </xdr:from>
    <xdr:to>
      <xdr:col>1</xdr:col>
      <xdr:colOff>809550</xdr:colOff>
      <xdr:row>7</xdr:row>
      <xdr:rowOff>138019</xdr:rowOff>
    </xdr:to>
    <xdr:pic macro="[0]!GoBackWards">
      <xdr:nvPicPr>
        <xdr:cNvPr id="5" name="Picture 4">
          <a:extLst>
            <a:ext uri="{FF2B5EF4-FFF2-40B4-BE49-F238E27FC236}">
              <a16:creationId xmlns:a16="http://schemas.microsoft.com/office/drawing/2014/main" id="{93CB1442-1136-4B75-ADFD-0B347B38E6C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9075" y="928688"/>
          <a:ext cx="600000" cy="752381"/>
        </a:xfrm>
        <a:prstGeom prst="rect">
          <a:avLst/>
        </a:prstGeom>
      </xdr:spPr>
    </xdr:pic>
    <xdr:clientData/>
  </xdr:twoCellAnchor>
  <xdr:twoCellAnchor editAs="oneCell">
    <xdr:from>
      <xdr:col>1</xdr:col>
      <xdr:colOff>952500</xdr:colOff>
      <xdr:row>4</xdr:row>
      <xdr:rowOff>57150</xdr:rowOff>
    </xdr:from>
    <xdr:to>
      <xdr:col>1</xdr:col>
      <xdr:colOff>1552500</xdr:colOff>
      <xdr:row>7</xdr:row>
      <xdr:rowOff>142781</xdr:rowOff>
    </xdr:to>
    <xdr:pic macro="[0]!GoForwards">
      <xdr:nvPicPr>
        <xdr:cNvPr id="6" name="Picture 5">
          <a:extLst>
            <a:ext uri="{FF2B5EF4-FFF2-40B4-BE49-F238E27FC236}">
              <a16:creationId xmlns:a16="http://schemas.microsoft.com/office/drawing/2014/main" id="{22D64905-2B69-476C-AB3F-E7C3B912775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62025" y="933450"/>
          <a:ext cx="600000" cy="752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125183</xdr:colOff>
      <xdr:row>6</xdr:row>
      <xdr:rowOff>2721</xdr:rowOff>
    </xdr:from>
    <xdr:to>
      <xdr:col>13</xdr:col>
      <xdr:colOff>582610</xdr:colOff>
      <xdr:row>33</xdr:row>
      <xdr:rowOff>54429</xdr:rowOff>
    </xdr:to>
    <xdr:pic>
      <xdr:nvPicPr>
        <xdr:cNvPr id="9" name="Picture 8">
          <a:extLst>
            <a:ext uri="{FF2B5EF4-FFF2-40B4-BE49-F238E27FC236}">
              <a16:creationId xmlns:a16="http://schemas.microsoft.com/office/drawing/2014/main" id="{424C7CF5-DEB2-4B88-9EF9-DD9AA4AC9D04}"/>
            </a:ext>
          </a:extLst>
        </xdr:cNvPr>
        <xdr:cNvPicPr>
          <a:picLocks noChangeAspect="1"/>
        </xdr:cNvPicPr>
      </xdr:nvPicPr>
      <xdr:blipFill>
        <a:blip xmlns:r="http://schemas.openxmlformats.org/officeDocument/2006/relationships" r:embed="rId1"/>
        <a:stretch>
          <a:fillRect/>
        </a:stretch>
      </xdr:blipFill>
      <xdr:spPr>
        <a:xfrm>
          <a:off x="3706583" y="1983921"/>
          <a:ext cx="5600927" cy="5338083"/>
        </a:xfrm>
        <a:prstGeom prst="rect">
          <a:avLst/>
        </a:prstGeom>
      </xdr:spPr>
    </xdr:pic>
    <xdr:clientData/>
  </xdr:twoCellAnchor>
  <xdr:twoCellAnchor editAs="absolute">
    <xdr:from>
      <xdr:col>0</xdr:col>
      <xdr:colOff>171450</xdr:colOff>
      <xdr:row>1</xdr:row>
      <xdr:rowOff>171450</xdr:rowOff>
    </xdr:from>
    <xdr:to>
      <xdr:col>0</xdr:col>
      <xdr:colOff>1594196</xdr:colOff>
      <xdr:row>1</xdr:row>
      <xdr:rowOff>609290</xdr:rowOff>
    </xdr:to>
    <xdr:pic>
      <xdr:nvPicPr>
        <xdr:cNvPr id="3" name="Logo" descr="ISF logo_red text.jpg">
          <a:extLst>
            <a:ext uri="{FF2B5EF4-FFF2-40B4-BE49-F238E27FC236}">
              <a16:creationId xmlns:a16="http://schemas.microsoft.com/office/drawing/2014/main" id="{512F5B35-C8D9-46B2-B0F4-4EEEEA42C93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0</xdr:col>
      <xdr:colOff>219075</xdr:colOff>
      <xdr:row>4</xdr:row>
      <xdr:rowOff>52388</xdr:rowOff>
    </xdr:from>
    <xdr:to>
      <xdr:col>0</xdr:col>
      <xdr:colOff>819075</xdr:colOff>
      <xdr:row>4</xdr:row>
      <xdr:rowOff>804769</xdr:rowOff>
    </xdr:to>
    <xdr:pic macro="[0]!GoBackWards">
      <xdr:nvPicPr>
        <xdr:cNvPr id="4" name="Picture 3">
          <a:extLst>
            <a:ext uri="{FF2B5EF4-FFF2-40B4-BE49-F238E27FC236}">
              <a16:creationId xmlns:a16="http://schemas.microsoft.com/office/drawing/2014/main" id="{7A2651FF-EF26-4114-93F5-F9E11DEEFFC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9075" y="995363"/>
          <a:ext cx="600000" cy="752381"/>
        </a:xfrm>
        <a:prstGeom prst="rect">
          <a:avLst/>
        </a:prstGeom>
      </xdr:spPr>
    </xdr:pic>
    <xdr:clientData/>
  </xdr:twoCellAnchor>
  <xdr:twoCellAnchor editAs="oneCell">
    <xdr:from>
      <xdr:col>0</xdr:col>
      <xdr:colOff>962025</xdr:colOff>
      <xdr:row>4</xdr:row>
      <xdr:rowOff>57150</xdr:rowOff>
    </xdr:from>
    <xdr:to>
      <xdr:col>0</xdr:col>
      <xdr:colOff>1562025</xdr:colOff>
      <xdr:row>4</xdr:row>
      <xdr:rowOff>809531</xdr:rowOff>
    </xdr:to>
    <xdr:pic macro="[0]!GoForwards">
      <xdr:nvPicPr>
        <xdr:cNvPr id="5" name="Picture 4">
          <a:extLst>
            <a:ext uri="{FF2B5EF4-FFF2-40B4-BE49-F238E27FC236}">
              <a16:creationId xmlns:a16="http://schemas.microsoft.com/office/drawing/2014/main" id="{F78F9BF2-0021-4B6D-A648-43354409063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62025" y="1000125"/>
          <a:ext cx="600000" cy="7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171450</xdr:colOff>
      <xdr:row>1</xdr:row>
      <xdr:rowOff>171450</xdr:rowOff>
    </xdr:from>
    <xdr:to>
      <xdr:col>0</xdr:col>
      <xdr:colOff>1591476</xdr:colOff>
      <xdr:row>1</xdr:row>
      <xdr:rowOff>609290</xdr:rowOff>
    </xdr:to>
    <xdr:pic>
      <xdr:nvPicPr>
        <xdr:cNvPr id="4" name="Logo" descr="ISF logo_red text.jpg">
          <a:extLst>
            <a:ext uri="{FF2B5EF4-FFF2-40B4-BE49-F238E27FC236}">
              <a16:creationId xmlns:a16="http://schemas.microsoft.com/office/drawing/2014/main" id="{2EF68FF3-7D83-4D8F-8F01-C9557FED35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0</xdr:col>
      <xdr:colOff>219075</xdr:colOff>
      <xdr:row>4</xdr:row>
      <xdr:rowOff>57150</xdr:rowOff>
    </xdr:from>
    <xdr:to>
      <xdr:col>0</xdr:col>
      <xdr:colOff>819075</xdr:colOff>
      <xdr:row>5</xdr:row>
      <xdr:rowOff>50251</xdr:rowOff>
    </xdr:to>
    <xdr:pic macro="[0]!GoBackWards">
      <xdr:nvPicPr>
        <xdr:cNvPr id="6" name="Picture 5">
          <a:extLst>
            <a:ext uri="{FF2B5EF4-FFF2-40B4-BE49-F238E27FC236}">
              <a16:creationId xmlns:a16="http://schemas.microsoft.com/office/drawing/2014/main" id="{B71204AA-24BC-4CDE-8CB3-1ED5E61C66C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9075" y="1000125"/>
          <a:ext cx="600000" cy="752381"/>
        </a:xfrm>
        <a:prstGeom prst="rect">
          <a:avLst/>
        </a:prstGeom>
      </xdr:spPr>
    </xdr:pic>
    <xdr:clientData/>
  </xdr:twoCellAnchor>
  <xdr:twoCellAnchor editAs="oneCell">
    <xdr:from>
      <xdr:col>0</xdr:col>
      <xdr:colOff>962025</xdr:colOff>
      <xdr:row>4</xdr:row>
      <xdr:rowOff>61912</xdr:rowOff>
    </xdr:from>
    <xdr:to>
      <xdr:col>0</xdr:col>
      <xdr:colOff>1562025</xdr:colOff>
      <xdr:row>5</xdr:row>
      <xdr:rowOff>57735</xdr:rowOff>
    </xdr:to>
    <xdr:pic macro="[0]!GoForwards">
      <xdr:nvPicPr>
        <xdr:cNvPr id="7" name="Picture 6">
          <a:extLst>
            <a:ext uri="{FF2B5EF4-FFF2-40B4-BE49-F238E27FC236}">
              <a16:creationId xmlns:a16="http://schemas.microsoft.com/office/drawing/2014/main" id="{986FECDF-A105-40BA-870D-6584504FBDB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62025" y="1004887"/>
          <a:ext cx="600000" cy="752381"/>
        </a:xfrm>
        <a:prstGeom prst="rect">
          <a:avLst/>
        </a:prstGeom>
      </xdr:spPr>
    </xdr:pic>
    <xdr:clientData/>
  </xdr:twoCellAnchor>
  <xdr:twoCellAnchor editAs="oneCell">
    <xdr:from>
      <xdr:col>1</xdr:col>
      <xdr:colOff>2009776</xdr:colOff>
      <xdr:row>1</xdr:row>
      <xdr:rowOff>114300</xdr:rowOff>
    </xdr:from>
    <xdr:to>
      <xdr:col>2</xdr:col>
      <xdr:colOff>351073</xdr:colOff>
      <xdr:row>1</xdr:row>
      <xdr:rowOff>698045</xdr:rowOff>
    </xdr:to>
    <xdr:pic>
      <xdr:nvPicPr>
        <xdr:cNvPr id="2" name="Picture 1">
          <a:extLst>
            <a:ext uri="{FF2B5EF4-FFF2-40B4-BE49-F238E27FC236}">
              <a16:creationId xmlns:a16="http://schemas.microsoft.com/office/drawing/2014/main" id="{091A2F08-D36E-4E4F-BBD8-4AF803193E22}"/>
            </a:ext>
          </a:extLst>
        </xdr:cNvPr>
        <xdr:cNvPicPr>
          <a:picLocks noChangeAspect="1"/>
        </xdr:cNvPicPr>
      </xdr:nvPicPr>
      <xdr:blipFill>
        <a:blip xmlns:r="http://schemas.openxmlformats.org/officeDocument/2006/relationships" r:embed="rId4"/>
        <a:stretch>
          <a:fillRect/>
        </a:stretch>
      </xdr:blipFill>
      <xdr:spPr>
        <a:xfrm>
          <a:off x="3724276" y="142875"/>
          <a:ext cx="653152" cy="5810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1781174</xdr:colOff>
      <xdr:row>1</xdr:row>
      <xdr:rowOff>85724</xdr:rowOff>
    </xdr:from>
    <xdr:to>
      <xdr:col>2</xdr:col>
      <xdr:colOff>2400299</xdr:colOff>
      <xdr:row>1</xdr:row>
      <xdr:rowOff>731132</xdr:rowOff>
    </xdr:to>
    <xdr:pic>
      <xdr:nvPicPr>
        <xdr:cNvPr id="5" name="Picture 4">
          <a:extLst>
            <a:ext uri="{FF2B5EF4-FFF2-40B4-BE49-F238E27FC236}">
              <a16:creationId xmlns:a16="http://schemas.microsoft.com/office/drawing/2014/main" id="{226615A5-853A-4680-9F9C-8EAF2248E6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6674" y="114299"/>
          <a:ext cx="619125" cy="648130"/>
        </a:xfrm>
        <a:prstGeom prst="rect">
          <a:avLst/>
        </a:prstGeom>
      </xdr:spPr>
    </xdr:pic>
    <xdr:clientData/>
  </xdr:twoCellAnchor>
  <xdr:twoCellAnchor editAs="absolute">
    <xdr:from>
      <xdr:col>0</xdr:col>
      <xdr:colOff>171450</xdr:colOff>
      <xdr:row>1</xdr:row>
      <xdr:rowOff>171450</xdr:rowOff>
    </xdr:from>
    <xdr:to>
      <xdr:col>0</xdr:col>
      <xdr:colOff>1591475</xdr:colOff>
      <xdr:row>1</xdr:row>
      <xdr:rowOff>609290</xdr:rowOff>
    </xdr:to>
    <xdr:pic>
      <xdr:nvPicPr>
        <xdr:cNvPr id="6" name="Logo" descr="ISF logo_red text.jpg">
          <a:extLst>
            <a:ext uri="{FF2B5EF4-FFF2-40B4-BE49-F238E27FC236}">
              <a16:creationId xmlns:a16="http://schemas.microsoft.com/office/drawing/2014/main" id="{91B6870B-7BAA-4EB8-93C6-E8A3443ACB5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0</xdr:col>
      <xdr:colOff>219075</xdr:colOff>
      <xdr:row>4</xdr:row>
      <xdr:rowOff>57150</xdr:rowOff>
    </xdr:from>
    <xdr:to>
      <xdr:col>0</xdr:col>
      <xdr:colOff>819075</xdr:colOff>
      <xdr:row>7</xdr:row>
      <xdr:rowOff>76106</xdr:rowOff>
    </xdr:to>
    <xdr:pic macro="[0]!GoBackWards">
      <xdr:nvPicPr>
        <xdr:cNvPr id="7" name="Picture 6">
          <a:extLst>
            <a:ext uri="{FF2B5EF4-FFF2-40B4-BE49-F238E27FC236}">
              <a16:creationId xmlns:a16="http://schemas.microsoft.com/office/drawing/2014/main" id="{BE6B4385-CE45-4EB0-9362-570F13E3EB8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9075" y="1000125"/>
          <a:ext cx="600000" cy="752381"/>
        </a:xfrm>
        <a:prstGeom prst="rect">
          <a:avLst/>
        </a:prstGeom>
      </xdr:spPr>
    </xdr:pic>
    <xdr:clientData/>
  </xdr:twoCellAnchor>
  <xdr:twoCellAnchor editAs="oneCell">
    <xdr:from>
      <xdr:col>0</xdr:col>
      <xdr:colOff>962025</xdr:colOff>
      <xdr:row>4</xdr:row>
      <xdr:rowOff>61912</xdr:rowOff>
    </xdr:from>
    <xdr:to>
      <xdr:col>0</xdr:col>
      <xdr:colOff>1562025</xdr:colOff>
      <xdr:row>7</xdr:row>
      <xdr:rowOff>83589</xdr:rowOff>
    </xdr:to>
    <xdr:pic macro="[0]!GoForwards">
      <xdr:nvPicPr>
        <xdr:cNvPr id="8" name="Picture 7">
          <a:extLst>
            <a:ext uri="{FF2B5EF4-FFF2-40B4-BE49-F238E27FC236}">
              <a16:creationId xmlns:a16="http://schemas.microsoft.com/office/drawing/2014/main" id="{7E425EE6-1696-4E27-A94F-36CFC433C68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62025" y="1004887"/>
          <a:ext cx="600000" cy="7523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2047875</xdr:colOff>
      <xdr:row>1</xdr:row>
      <xdr:rowOff>104774</xdr:rowOff>
    </xdr:from>
    <xdr:to>
      <xdr:col>2</xdr:col>
      <xdr:colOff>2874266</xdr:colOff>
      <xdr:row>1</xdr:row>
      <xdr:rowOff>707570</xdr:rowOff>
    </xdr:to>
    <xdr:pic>
      <xdr:nvPicPr>
        <xdr:cNvPr id="6" name="Picture 5">
          <a:extLst>
            <a:ext uri="{FF2B5EF4-FFF2-40B4-BE49-F238E27FC236}">
              <a16:creationId xmlns:a16="http://schemas.microsoft.com/office/drawing/2014/main" id="{8BE79086-2B69-4248-A395-DF87A9A871E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43375" y="133349"/>
          <a:ext cx="829112" cy="600075"/>
        </a:xfrm>
        <a:prstGeom prst="rect">
          <a:avLst/>
        </a:prstGeom>
      </xdr:spPr>
    </xdr:pic>
    <xdr:clientData/>
  </xdr:twoCellAnchor>
  <xdr:twoCellAnchor editAs="absolute">
    <xdr:from>
      <xdr:col>0</xdr:col>
      <xdr:colOff>168729</xdr:colOff>
      <xdr:row>1</xdr:row>
      <xdr:rowOff>168729</xdr:rowOff>
    </xdr:from>
    <xdr:to>
      <xdr:col>0</xdr:col>
      <xdr:colOff>1590115</xdr:colOff>
      <xdr:row>1</xdr:row>
      <xdr:rowOff>609290</xdr:rowOff>
    </xdr:to>
    <xdr:pic>
      <xdr:nvPicPr>
        <xdr:cNvPr id="3" name="Logo" descr="ISF logo_red text.jpg">
          <a:extLst>
            <a:ext uri="{FF2B5EF4-FFF2-40B4-BE49-F238E27FC236}">
              <a16:creationId xmlns:a16="http://schemas.microsoft.com/office/drawing/2014/main" id="{8185138B-14E1-47C2-B0F9-70D5AFE826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0</xdr:col>
      <xdr:colOff>219075</xdr:colOff>
      <xdr:row>4</xdr:row>
      <xdr:rowOff>57150</xdr:rowOff>
    </xdr:from>
    <xdr:to>
      <xdr:col>0</xdr:col>
      <xdr:colOff>821796</xdr:colOff>
      <xdr:row>5</xdr:row>
      <xdr:rowOff>46169</xdr:rowOff>
    </xdr:to>
    <xdr:pic macro="[0]!GoBackWards">
      <xdr:nvPicPr>
        <xdr:cNvPr id="4" name="Picture 3">
          <a:extLst>
            <a:ext uri="{FF2B5EF4-FFF2-40B4-BE49-F238E27FC236}">
              <a16:creationId xmlns:a16="http://schemas.microsoft.com/office/drawing/2014/main" id="{50EEF1E9-C4C7-4E72-8B85-AD05B0B8B2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9075" y="1000125"/>
          <a:ext cx="600000" cy="752381"/>
        </a:xfrm>
        <a:prstGeom prst="rect">
          <a:avLst/>
        </a:prstGeom>
      </xdr:spPr>
    </xdr:pic>
    <xdr:clientData/>
  </xdr:twoCellAnchor>
  <xdr:twoCellAnchor editAs="oneCell">
    <xdr:from>
      <xdr:col>0</xdr:col>
      <xdr:colOff>962025</xdr:colOff>
      <xdr:row>4</xdr:row>
      <xdr:rowOff>61912</xdr:rowOff>
    </xdr:from>
    <xdr:to>
      <xdr:col>0</xdr:col>
      <xdr:colOff>1562025</xdr:colOff>
      <xdr:row>5</xdr:row>
      <xdr:rowOff>55014</xdr:rowOff>
    </xdr:to>
    <xdr:pic macro="[0]!GoForwards">
      <xdr:nvPicPr>
        <xdr:cNvPr id="5" name="Picture 4">
          <a:extLst>
            <a:ext uri="{FF2B5EF4-FFF2-40B4-BE49-F238E27FC236}">
              <a16:creationId xmlns:a16="http://schemas.microsoft.com/office/drawing/2014/main" id="{68C85371-CC06-404B-BDB0-0268D81E8E2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62025" y="1004887"/>
          <a:ext cx="600000" cy="7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866775</xdr:colOff>
      <xdr:row>0</xdr:row>
      <xdr:rowOff>28574</xdr:rowOff>
    </xdr:from>
    <xdr:to>
      <xdr:col>3</xdr:col>
      <xdr:colOff>114300</xdr:colOff>
      <xdr:row>1</xdr:row>
      <xdr:rowOff>778445</xdr:rowOff>
    </xdr:to>
    <xdr:pic>
      <xdr:nvPicPr>
        <xdr:cNvPr id="4" name="Picture 3">
          <a:extLst>
            <a:ext uri="{FF2B5EF4-FFF2-40B4-BE49-F238E27FC236}">
              <a16:creationId xmlns:a16="http://schemas.microsoft.com/office/drawing/2014/main" id="{795B9C03-43D4-42FE-BA90-FE38664120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95750" y="28574"/>
          <a:ext cx="762000" cy="778446"/>
        </a:xfrm>
        <a:prstGeom prst="rect">
          <a:avLst/>
        </a:prstGeom>
      </xdr:spPr>
    </xdr:pic>
    <xdr:clientData/>
  </xdr:twoCellAnchor>
  <xdr:twoCellAnchor editAs="absolute">
    <xdr:from>
      <xdr:col>0</xdr:col>
      <xdr:colOff>171450</xdr:colOff>
      <xdr:row>1</xdr:row>
      <xdr:rowOff>171450</xdr:rowOff>
    </xdr:from>
    <xdr:to>
      <xdr:col>0</xdr:col>
      <xdr:colOff>1594196</xdr:colOff>
      <xdr:row>1</xdr:row>
      <xdr:rowOff>609290</xdr:rowOff>
    </xdr:to>
    <xdr:pic>
      <xdr:nvPicPr>
        <xdr:cNvPr id="5" name="Logo" descr="ISF logo_red text.jpg">
          <a:extLst>
            <a:ext uri="{FF2B5EF4-FFF2-40B4-BE49-F238E27FC236}">
              <a16:creationId xmlns:a16="http://schemas.microsoft.com/office/drawing/2014/main" id="{DD496C87-243A-4B6A-A3B6-A14232839A5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0</xdr:col>
      <xdr:colOff>219075</xdr:colOff>
      <xdr:row>4</xdr:row>
      <xdr:rowOff>57150</xdr:rowOff>
    </xdr:from>
    <xdr:to>
      <xdr:col>0</xdr:col>
      <xdr:colOff>819075</xdr:colOff>
      <xdr:row>4</xdr:row>
      <xdr:rowOff>809531</xdr:rowOff>
    </xdr:to>
    <xdr:pic macro="[0]!GoBackWards">
      <xdr:nvPicPr>
        <xdr:cNvPr id="10" name="Picture 9">
          <a:extLst>
            <a:ext uri="{FF2B5EF4-FFF2-40B4-BE49-F238E27FC236}">
              <a16:creationId xmlns:a16="http://schemas.microsoft.com/office/drawing/2014/main" id="{2EECAB35-DDCB-4703-81D9-4DB2EE433EB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9075" y="1000125"/>
          <a:ext cx="600000" cy="752381"/>
        </a:xfrm>
        <a:prstGeom prst="rect">
          <a:avLst/>
        </a:prstGeom>
      </xdr:spPr>
    </xdr:pic>
    <xdr:clientData/>
  </xdr:twoCellAnchor>
  <xdr:twoCellAnchor editAs="oneCell">
    <xdr:from>
      <xdr:col>0</xdr:col>
      <xdr:colOff>962025</xdr:colOff>
      <xdr:row>4</xdr:row>
      <xdr:rowOff>61912</xdr:rowOff>
    </xdr:from>
    <xdr:to>
      <xdr:col>0</xdr:col>
      <xdr:colOff>1562025</xdr:colOff>
      <xdr:row>4</xdr:row>
      <xdr:rowOff>814293</xdr:rowOff>
    </xdr:to>
    <xdr:pic macro="[0]!GoForwards">
      <xdr:nvPicPr>
        <xdr:cNvPr id="11" name="Picture 10">
          <a:extLst>
            <a:ext uri="{FF2B5EF4-FFF2-40B4-BE49-F238E27FC236}">
              <a16:creationId xmlns:a16="http://schemas.microsoft.com/office/drawing/2014/main" id="{2301F47D-25FD-4707-BDEC-40DFD1179CB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62025" y="1004887"/>
          <a:ext cx="600000" cy="752381"/>
        </a:xfrm>
        <a:prstGeom prst="rect">
          <a:avLst/>
        </a:prstGeom>
      </xdr:spPr>
    </xdr:pic>
    <xdr:clientData/>
  </xdr:twoCellAnchor>
  <xdr:twoCellAnchor editAs="oneCell">
    <xdr:from>
      <xdr:col>0</xdr:col>
      <xdr:colOff>609600</xdr:colOff>
      <xdr:row>4</xdr:row>
      <xdr:rowOff>885826</xdr:rowOff>
    </xdr:from>
    <xdr:to>
      <xdr:col>0</xdr:col>
      <xdr:colOff>1152525</xdr:colOff>
      <xdr:row>5</xdr:row>
      <xdr:rowOff>40156</xdr:rowOff>
    </xdr:to>
    <xdr:pic macro="[0]!Run">
      <xdr:nvPicPr>
        <xdr:cNvPr id="3" name="Picture 2">
          <a:extLst>
            <a:ext uri="{FF2B5EF4-FFF2-40B4-BE49-F238E27FC236}">
              <a16:creationId xmlns:a16="http://schemas.microsoft.com/office/drawing/2014/main" id="{43218CBC-25F5-4E5E-A67A-F3561BE091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 y="1828801"/>
          <a:ext cx="542925" cy="67833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171450</xdr:colOff>
      <xdr:row>1</xdr:row>
      <xdr:rowOff>171450</xdr:rowOff>
    </xdr:from>
    <xdr:to>
      <xdr:col>0</xdr:col>
      <xdr:colOff>1591483</xdr:colOff>
      <xdr:row>1</xdr:row>
      <xdr:rowOff>609290</xdr:rowOff>
    </xdr:to>
    <xdr:pic>
      <xdr:nvPicPr>
        <xdr:cNvPr id="2" name="Logo" descr="ISF logo_red text.jpg">
          <a:extLst>
            <a:ext uri="{FF2B5EF4-FFF2-40B4-BE49-F238E27FC236}">
              <a16:creationId xmlns:a16="http://schemas.microsoft.com/office/drawing/2014/main" id="{572D7B43-FFCA-4465-9AF6-C2AFE325365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729" y="197304"/>
          <a:ext cx="1421385" cy="440561"/>
        </a:xfrm>
        <a:prstGeom prst="rect">
          <a:avLst/>
        </a:prstGeom>
      </xdr:spPr>
    </xdr:pic>
    <xdr:clientData/>
  </xdr:twoCellAnchor>
  <xdr:twoCellAnchor editAs="oneCell">
    <xdr:from>
      <xdr:col>2</xdr:col>
      <xdr:colOff>1142999</xdr:colOff>
      <xdr:row>1</xdr:row>
      <xdr:rowOff>95249</xdr:rowOff>
    </xdr:from>
    <xdr:to>
      <xdr:col>2</xdr:col>
      <xdr:colOff>1839676</xdr:colOff>
      <xdr:row>1</xdr:row>
      <xdr:rowOff>694993</xdr:rowOff>
    </xdr:to>
    <xdr:pic>
      <xdr:nvPicPr>
        <xdr:cNvPr id="3" name="Picture 2">
          <a:extLst>
            <a:ext uri="{FF2B5EF4-FFF2-40B4-BE49-F238E27FC236}">
              <a16:creationId xmlns:a16="http://schemas.microsoft.com/office/drawing/2014/main" id="{D558C520-1EF6-4B47-AECF-9A4828D0BB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24449" y="126545"/>
          <a:ext cx="693964" cy="599753"/>
        </a:xfrm>
        <a:prstGeom prst="rect">
          <a:avLst/>
        </a:prstGeom>
      </xdr:spPr>
    </xdr:pic>
    <xdr:clientData/>
  </xdr:twoCellAnchor>
  <xdr:twoCellAnchor editAs="oneCell">
    <xdr:from>
      <xdr:col>0</xdr:col>
      <xdr:colOff>219075</xdr:colOff>
      <xdr:row>4</xdr:row>
      <xdr:rowOff>57150</xdr:rowOff>
    </xdr:from>
    <xdr:to>
      <xdr:col>0</xdr:col>
      <xdr:colOff>821796</xdr:colOff>
      <xdr:row>5</xdr:row>
      <xdr:rowOff>48883</xdr:rowOff>
    </xdr:to>
    <xdr:pic>
      <xdr:nvPicPr>
        <xdr:cNvPr id="4" name="Picture 3">
          <a:hlinkClick xmlns:r="http://schemas.openxmlformats.org/officeDocument/2006/relationships" r:id="rId3"/>
          <a:extLst>
            <a:ext uri="{FF2B5EF4-FFF2-40B4-BE49-F238E27FC236}">
              <a16:creationId xmlns:a16="http://schemas.microsoft.com/office/drawing/2014/main" id="{9208D777-1C01-46A7-80AF-8917EB85639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0436" y="1006929"/>
          <a:ext cx="601360" cy="753741"/>
        </a:xfrm>
        <a:prstGeom prst="rect">
          <a:avLst/>
        </a:prstGeom>
      </xdr:spPr>
    </xdr:pic>
    <xdr:clientData/>
  </xdr:twoCellAnchor>
  <xdr:twoCellAnchor editAs="oneCell">
    <xdr:from>
      <xdr:col>0</xdr:col>
      <xdr:colOff>962025</xdr:colOff>
      <xdr:row>4</xdr:row>
      <xdr:rowOff>61912</xdr:rowOff>
    </xdr:from>
    <xdr:to>
      <xdr:col>0</xdr:col>
      <xdr:colOff>1562025</xdr:colOff>
      <xdr:row>5</xdr:row>
      <xdr:rowOff>55014</xdr:rowOff>
    </xdr:to>
    <xdr:pic>
      <xdr:nvPicPr>
        <xdr:cNvPr id="5" name="Picture 4">
          <a:hlinkClick xmlns:r="http://schemas.openxmlformats.org/officeDocument/2006/relationships" r:id="rId5"/>
          <a:extLst>
            <a:ext uri="{FF2B5EF4-FFF2-40B4-BE49-F238E27FC236}">
              <a16:creationId xmlns:a16="http://schemas.microsoft.com/office/drawing/2014/main" id="{2E3D863C-3540-449B-8A0D-4AA615818B5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664" y="1011691"/>
          <a:ext cx="601361" cy="757823"/>
        </a:xfrm>
        <a:prstGeom prst="rect">
          <a:avLst/>
        </a:prstGeom>
      </xdr:spPr>
    </xdr:pic>
    <xdr:clientData/>
  </xdr:twoCellAnchor>
  <xdr:twoCellAnchor editAs="oneCell">
    <xdr:from>
      <xdr:col>0</xdr:col>
      <xdr:colOff>619125</xdr:colOff>
      <xdr:row>5</xdr:row>
      <xdr:rowOff>142875</xdr:rowOff>
    </xdr:from>
    <xdr:to>
      <xdr:col>0</xdr:col>
      <xdr:colOff>1153876</xdr:colOff>
      <xdr:row>9</xdr:row>
      <xdr:rowOff>26584</xdr:rowOff>
    </xdr:to>
    <xdr:pic macro="[0]!Reset_All">
      <xdr:nvPicPr>
        <xdr:cNvPr id="6" name="Picture 5">
          <a:extLst>
            <a:ext uri="{FF2B5EF4-FFF2-40B4-BE49-F238E27FC236}">
              <a16:creationId xmlns:a16="http://schemas.microsoft.com/office/drawing/2014/main" id="{030DD3FF-17E4-4A44-8881-185443155F4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17764" y="1858736"/>
          <a:ext cx="533399" cy="666111"/>
        </a:xfrm>
        <a:prstGeom prst="rect">
          <a:avLst/>
        </a:prstGeom>
      </xdr:spPr>
    </xdr:pic>
    <xdr:clientData/>
  </xdr:twoCellAnchor>
  <xdr:twoCellAnchor>
    <xdr:from>
      <xdr:col>1</xdr:col>
      <xdr:colOff>0</xdr:colOff>
      <xdr:row>12</xdr:row>
      <xdr:rowOff>0</xdr:rowOff>
    </xdr:from>
    <xdr:to>
      <xdr:col>12</xdr:col>
      <xdr:colOff>821765</xdr:colOff>
      <xdr:row>39</xdr:row>
      <xdr:rowOff>0</xdr:rowOff>
    </xdr:to>
    <xdr:graphicFrame macro="">
      <xdr:nvGraphicFramePr>
        <xdr:cNvPr id="11" name="Histogram1">
          <a:extLst>
            <a:ext uri="{FF2B5EF4-FFF2-40B4-BE49-F238E27FC236}">
              <a16:creationId xmlns:a16="http://schemas.microsoft.com/office/drawing/2014/main" id="{EBA789F9-F18B-4500-A020-0865DAAB29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42</xdr:row>
      <xdr:rowOff>0</xdr:rowOff>
    </xdr:from>
    <xdr:to>
      <xdr:col>5</xdr:col>
      <xdr:colOff>1038225</xdr:colOff>
      <xdr:row>67</xdr:row>
      <xdr:rowOff>12887</xdr:rowOff>
    </xdr:to>
    <xdr:graphicFrame macro="">
      <xdr:nvGraphicFramePr>
        <xdr:cNvPr id="12" name="LEC1">
          <a:extLst>
            <a:ext uri="{FF2B5EF4-FFF2-40B4-BE49-F238E27FC236}">
              <a16:creationId xmlns:a16="http://schemas.microsoft.com/office/drawing/2014/main" id="{4FC82D48-C012-4047-9746-C7953FDA3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752474</xdr:colOff>
      <xdr:row>1</xdr:row>
      <xdr:rowOff>161925</xdr:rowOff>
    </xdr:from>
    <xdr:to>
      <xdr:col>3</xdr:col>
      <xdr:colOff>1502715</xdr:colOff>
      <xdr:row>1</xdr:row>
      <xdr:rowOff>685800</xdr:rowOff>
    </xdr:to>
    <xdr:pic>
      <xdr:nvPicPr>
        <xdr:cNvPr id="4" name="Picture 3">
          <a:extLst>
            <a:ext uri="{FF2B5EF4-FFF2-40B4-BE49-F238E27FC236}">
              <a16:creationId xmlns:a16="http://schemas.microsoft.com/office/drawing/2014/main" id="{B1F3808C-15C9-416F-9DAF-4E200CF6EFF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24599" y="190500"/>
          <a:ext cx="750241" cy="523875"/>
        </a:xfrm>
        <a:prstGeom prst="rect">
          <a:avLst/>
        </a:prstGeom>
      </xdr:spPr>
    </xdr:pic>
    <xdr:clientData/>
  </xdr:twoCellAnchor>
  <xdr:twoCellAnchor editAs="absolute">
    <xdr:from>
      <xdr:col>0</xdr:col>
      <xdr:colOff>171450</xdr:colOff>
      <xdr:row>1</xdr:row>
      <xdr:rowOff>171450</xdr:rowOff>
    </xdr:from>
    <xdr:to>
      <xdr:col>0</xdr:col>
      <xdr:colOff>1591475</xdr:colOff>
      <xdr:row>1</xdr:row>
      <xdr:rowOff>609290</xdr:rowOff>
    </xdr:to>
    <xdr:pic>
      <xdr:nvPicPr>
        <xdr:cNvPr id="6" name="Logo" descr="ISF logo_red text.jpg">
          <a:extLst>
            <a:ext uri="{FF2B5EF4-FFF2-40B4-BE49-F238E27FC236}">
              <a16:creationId xmlns:a16="http://schemas.microsoft.com/office/drawing/2014/main" id="{5297B0F6-D651-4A14-BCD1-300F574526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0</xdr:col>
      <xdr:colOff>219075</xdr:colOff>
      <xdr:row>4</xdr:row>
      <xdr:rowOff>57150</xdr:rowOff>
    </xdr:from>
    <xdr:to>
      <xdr:col>0</xdr:col>
      <xdr:colOff>819075</xdr:colOff>
      <xdr:row>4</xdr:row>
      <xdr:rowOff>812252</xdr:rowOff>
    </xdr:to>
    <xdr:pic macro="[0]!GoBackWards">
      <xdr:nvPicPr>
        <xdr:cNvPr id="8" name="Picture 7">
          <a:extLst>
            <a:ext uri="{FF2B5EF4-FFF2-40B4-BE49-F238E27FC236}">
              <a16:creationId xmlns:a16="http://schemas.microsoft.com/office/drawing/2014/main" id="{C5F62DD9-C770-46AC-B4F0-638343CE1BE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9075" y="1000125"/>
          <a:ext cx="600000" cy="752381"/>
        </a:xfrm>
        <a:prstGeom prst="rect">
          <a:avLst/>
        </a:prstGeom>
      </xdr:spPr>
    </xdr:pic>
    <xdr:clientData/>
  </xdr:twoCellAnchor>
  <xdr:twoCellAnchor editAs="oneCell">
    <xdr:from>
      <xdr:col>0</xdr:col>
      <xdr:colOff>962025</xdr:colOff>
      <xdr:row>4</xdr:row>
      <xdr:rowOff>61912</xdr:rowOff>
    </xdr:from>
    <xdr:to>
      <xdr:col>0</xdr:col>
      <xdr:colOff>1562025</xdr:colOff>
      <xdr:row>4</xdr:row>
      <xdr:rowOff>819735</xdr:rowOff>
    </xdr:to>
    <xdr:pic macro="[0]!GoForwards">
      <xdr:nvPicPr>
        <xdr:cNvPr id="9" name="Picture 8">
          <a:extLst>
            <a:ext uri="{FF2B5EF4-FFF2-40B4-BE49-F238E27FC236}">
              <a16:creationId xmlns:a16="http://schemas.microsoft.com/office/drawing/2014/main" id="{2D4A79DD-AFE5-4E1B-894B-CABE0CDA7A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62025" y="1004887"/>
          <a:ext cx="600000" cy="75238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1000124</xdr:colOff>
      <xdr:row>1</xdr:row>
      <xdr:rowOff>161925</xdr:rowOff>
    </xdr:from>
    <xdr:to>
      <xdr:col>3</xdr:col>
      <xdr:colOff>1750365</xdr:colOff>
      <xdr:row>1</xdr:row>
      <xdr:rowOff>685800</xdr:rowOff>
    </xdr:to>
    <xdr:pic>
      <xdr:nvPicPr>
        <xdr:cNvPr id="8" name="Picture 7">
          <a:extLst>
            <a:ext uri="{FF2B5EF4-FFF2-40B4-BE49-F238E27FC236}">
              <a16:creationId xmlns:a16="http://schemas.microsoft.com/office/drawing/2014/main" id="{2E3464BC-98AB-4165-A04D-F96883CA60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76974" y="190500"/>
          <a:ext cx="750241" cy="523875"/>
        </a:xfrm>
        <a:prstGeom prst="rect">
          <a:avLst/>
        </a:prstGeom>
      </xdr:spPr>
    </xdr:pic>
    <xdr:clientData/>
  </xdr:twoCellAnchor>
  <xdr:twoCellAnchor editAs="absolute">
    <xdr:from>
      <xdr:col>0</xdr:col>
      <xdr:colOff>171450</xdr:colOff>
      <xdr:row>1</xdr:row>
      <xdr:rowOff>171450</xdr:rowOff>
    </xdr:from>
    <xdr:to>
      <xdr:col>0</xdr:col>
      <xdr:colOff>1594196</xdr:colOff>
      <xdr:row>1</xdr:row>
      <xdr:rowOff>609290</xdr:rowOff>
    </xdr:to>
    <xdr:pic>
      <xdr:nvPicPr>
        <xdr:cNvPr id="9" name="Logo" descr="ISF logo_red text.jpg">
          <a:extLst>
            <a:ext uri="{FF2B5EF4-FFF2-40B4-BE49-F238E27FC236}">
              <a16:creationId xmlns:a16="http://schemas.microsoft.com/office/drawing/2014/main" id="{EDF82907-32AC-4056-AA8B-15D0D7C28B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0</xdr:col>
      <xdr:colOff>219075</xdr:colOff>
      <xdr:row>4</xdr:row>
      <xdr:rowOff>57150</xdr:rowOff>
    </xdr:from>
    <xdr:to>
      <xdr:col>0</xdr:col>
      <xdr:colOff>819075</xdr:colOff>
      <xdr:row>4</xdr:row>
      <xdr:rowOff>809531</xdr:rowOff>
    </xdr:to>
    <xdr:pic macro="[0]!GoBackWards">
      <xdr:nvPicPr>
        <xdr:cNvPr id="11" name="Picture 10">
          <a:extLst>
            <a:ext uri="{FF2B5EF4-FFF2-40B4-BE49-F238E27FC236}">
              <a16:creationId xmlns:a16="http://schemas.microsoft.com/office/drawing/2014/main" id="{40278707-8E75-4C8B-88FB-9C94D0104BD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9075" y="1000125"/>
          <a:ext cx="600000" cy="752381"/>
        </a:xfrm>
        <a:prstGeom prst="rect">
          <a:avLst/>
        </a:prstGeom>
      </xdr:spPr>
    </xdr:pic>
    <xdr:clientData/>
  </xdr:twoCellAnchor>
  <xdr:twoCellAnchor editAs="oneCell">
    <xdr:from>
      <xdr:col>0</xdr:col>
      <xdr:colOff>962025</xdr:colOff>
      <xdr:row>4</xdr:row>
      <xdr:rowOff>61912</xdr:rowOff>
    </xdr:from>
    <xdr:to>
      <xdr:col>0</xdr:col>
      <xdr:colOff>1562025</xdr:colOff>
      <xdr:row>4</xdr:row>
      <xdr:rowOff>814293</xdr:rowOff>
    </xdr:to>
    <xdr:pic macro="[0]!GoForwards">
      <xdr:nvPicPr>
        <xdr:cNvPr id="12" name="Picture 11">
          <a:extLst>
            <a:ext uri="{FF2B5EF4-FFF2-40B4-BE49-F238E27FC236}">
              <a16:creationId xmlns:a16="http://schemas.microsoft.com/office/drawing/2014/main" id="{BD5DE6A0-BAE5-4E27-A366-60A790CB8FA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62025" y="1004887"/>
          <a:ext cx="600000" cy="752381"/>
        </a:xfrm>
        <a:prstGeom prst="rect">
          <a:avLst/>
        </a:prstGeom>
      </xdr:spPr>
    </xdr:pic>
    <xdr:clientData/>
  </xdr:twoCellAnchor>
  <xdr:twoCellAnchor editAs="oneCell">
    <xdr:from>
      <xdr:col>0</xdr:col>
      <xdr:colOff>574698</xdr:colOff>
      <xdr:row>5</xdr:row>
      <xdr:rowOff>121880</xdr:rowOff>
    </xdr:from>
    <xdr:to>
      <xdr:col>0</xdr:col>
      <xdr:colOff>1202792</xdr:colOff>
      <xdr:row>10</xdr:row>
      <xdr:rowOff>9435</xdr:rowOff>
    </xdr:to>
    <xdr:pic macro="[0]!RunTreatment">
      <xdr:nvPicPr>
        <xdr:cNvPr id="3" name="Picture 2">
          <a:extLst>
            <a:ext uri="{FF2B5EF4-FFF2-40B4-BE49-F238E27FC236}">
              <a16:creationId xmlns:a16="http://schemas.microsoft.com/office/drawing/2014/main" id="{42413EB6-5BD1-42E6-B735-B2654EDDD65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74698" y="1826855"/>
          <a:ext cx="628094" cy="65908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704849</xdr:colOff>
      <xdr:row>1</xdr:row>
      <xdr:rowOff>161925</xdr:rowOff>
    </xdr:from>
    <xdr:to>
      <xdr:col>3</xdr:col>
      <xdr:colOff>1459172</xdr:colOff>
      <xdr:row>1</xdr:row>
      <xdr:rowOff>685800</xdr:rowOff>
    </xdr:to>
    <xdr:pic>
      <xdr:nvPicPr>
        <xdr:cNvPr id="2" name="Picture 1">
          <a:extLst>
            <a:ext uri="{FF2B5EF4-FFF2-40B4-BE49-F238E27FC236}">
              <a16:creationId xmlns:a16="http://schemas.microsoft.com/office/drawing/2014/main" id="{2925A63C-8FF2-428B-8B66-47306D4FD9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81699" y="190500"/>
          <a:ext cx="750241" cy="523875"/>
        </a:xfrm>
        <a:prstGeom prst="rect">
          <a:avLst/>
        </a:prstGeom>
      </xdr:spPr>
    </xdr:pic>
    <xdr:clientData/>
  </xdr:twoCellAnchor>
  <xdr:twoCellAnchor editAs="absolute">
    <xdr:from>
      <xdr:col>0</xdr:col>
      <xdr:colOff>168729</xdr:colOff>
      <xdr:row>1</xdr:row>
      <xdr:rowOff>168729</xdr:rowOff>
    </xdr:from>
    <xdr:to>
      <xdr:col>0</xdr:col>
      <xdr:colOff>1590114</xdr:colOff>
      <xdr:row>1</xdr:row>
      <xdr:rowOff>609290</xdr:rowOff>
    </xdr:to>
    <xdr:pic>
      <xdr:nvPicPr>
        <xdr:cNvPr id="3" name="Logo" descr="ISF logo_red text.jpg">
          <a:extLst>
            <a:ext uri="{FF2B5EF4-FFF2-40B4-BE49-F238E27FC236}">
              <a16:creationId xmlns:a16="http://schemas.microsoft.com/office/drawing/2014/main" id="{1716093D-E412-4E1B-AD2F-2F431A5F409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0</xdr:col>
      <xdr:colOff>219075</xdr:colOff>
      <xdr:row>4</xdr:row>
      <xdr:rowOff>57150</xdr:rowOff>
    </xdr:from>
    <xdr:to>
      <xdr:col>0</xdr:col>
      <xdr:colOff>821796</xdr:colOff>
      <xdr:row>7</xdr:row>
      <xdr:rowOff>76106</xdr:rowOff>
    </xdr:to>
    <xdr:pic macro="[0]!GoBackWards">
      <xdr:nvPicPr>
        <xdr:cNvPr id="4" name="Picture 3">
          <a:extLst>
            <a:ext uri="{FF2B5EF4-FFF2-40B4-BE49-F238E27FC236}">
              <a16:creationId xmlns:a16="http://schemas.microsoft.com/office/drawing/2014/main" id="{EB48EC53-F06B-494C-9FC3-CF2E63927D9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9075" y="1000125"/>
          <a:ext cx="600000" cy="752381"/>
        </a:xfrm>
        <a:prstGeom prst="rect">
          <a:avLst/>
        </a:prstGeom>
      </xdr:spPr>
    </xdr:pic>
    <xdr:clientData/>
  </xdr:twoCellAnchor>
  <xdr:twoCellAnchor editAs="oneCell">
    <xdr:from>
      <xdr:col>0</xdr:col>
      <xdr:colOff>962025</xdr:colOff>
      <xdr:row>4</xdr:row>
      <xdr:rowOff>61912</xdr:rowOff>
    </xdr:from>
    <xdr:to>
      <xdr:col>0</xdr:col>
      <xdr:colOff>1562025</xdr:colOff>
      <xdr:row>7</xdr:row>
      <xdr:rowOff>84950</xdr:rowOff>
    </xdr:to>
    <xdr:pic macro="[0]!GoForwards">
      <xdr:nvPicPr>
        <xdr:cNvPr id="5" name="Picture 4">
          <a:extLst>
            <a:ext uri="{FF2B5EF4-FFF2-40B4-BE49-F238E27FC236}">
              <a16:creationId xmlns:a16="http://schemas.microsoft.com/office/drawing/2014/main" id="{6D862DBA-7062-4B22-9EC9-5640B1B4379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62025" y="1004887"/>
          <a:ext cx="600000" cy="752381"/>
        </a:xfrm>
        <a:prstGeom prst="rect">
          <a:avLst/>
        </a:prstGeom>
      </xdr:spPr>
    </xdr:pic>
    <xdr:clientData/>
  </xdr:twoCellAnchor>
  <xdr:twoCellAnchor editAs="oneCell">
    <xdr:from>
      <xdr:col>0</xdr:col>
      <xdr:colOff>619125</xdr:colOff>
      <xdr:row>8</xdr:row>
      <xdr:rowOff>152400</xdr:rowOff>
    </xdr:from>
    <xdr:to>
      <xdr:col>0</xdr:col>
      <xdr:colOff>1151163</xdr:colOff>
      <xdr:row>12</xdr:row>
      <xdr:rowOff>7525</xdr:rowOff>
    </xdr:to>
    <xdr:pic macro="[0]!Reset_All">
      <xdr:nvPicPr>
        <xdr:cNvPr id="19" name="Picture 18">
          <a:extLst>
            <a:ext uri="{FF2B5EF4-FFF2-40B4-BE49-F238E27FC236}">
              <a16:creationId xmlns:a16="http://schemas.microsoft.com/office/drawing/2014/main" id="{63108D73-8AB5-4FA7-91F8-5CC6E4F46A4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9125" y="2019300"/>
          <a:ext cx="533399" cy="666111"/>
        </a:xfrm>
        <a:prstGeom prst="rect">
          <a:avLst/>
        </a:prstGeom>
      </xdr:spPr>
    </xdr:pic>
    <xdr:clientData/>
  </xdr:twoCellAnchor>
  <xdr:twoCellAnchor>
    <xdr:from>
      <xdr:col>1</xdr:col>
      <xdr:colOff>0</xdr:colOff>
      <xdr:row>45</xdr:row>
      <xdr:rowOff>0</xdr:rowOff>
    </xdr:from>
    <xdr:to>
      <xdr:col>10</xdr:col>
      <xdr:colOff>323850</xdr:colOff>
      <xdr:row>72</xdr:row>
      <xdr:rowOff>0</xdr:rowOff>
    </xdr:to>
    <xdr:graphicFrame macro="">
      <xdr:nvGraphicFramePr>
        <xdr:cNvPr id="18" name="Histogram2">
          <a:extLst>
            <a:ext uri="{FF2B5EF4-FFF2-40B4-BE49-F238E27FC236}">
              <a16:creationId xmlns:a16="http://schemas.microsoft.com/office/drawing/2014/main" id="{6150847C-53AE-4BD6-88BB-6612F7BEF9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15</xdr:row>
      <xdr:rowOff>0</xdr:rowOff>
    </xdr:from>
    <xdr:to>
      <xdr:col>5</xdr:col>
      <xdr:colOff>431800</xdr:colOff>
      <xdr:row>42</xdr:row>
      <xdr:rowOff>0</xdr:rowOff>
    </xdr:to>
    <xdr:graphicFrame macro="">
      <xdr:nvGraphicFramePr>
        <xdr:cNvPr id="20" name="Double_Histogram">
          <a:extLst>
            <a:ext uri="{FF2B5EF4-FFF2-40B4-BE49-F238E27FC236}">
              <a16:creationId xmlns:a16="http://schemas.microsoft.com/office/drawing/2014/main" id="{7CFF2921-B6F0-44C2-BFD8-305EA06ECA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0</xdr:colOff>
      <xdr:row>15</xdr:row>
      <xdr:rowOff>0</xdr:rowOff>
    </xdr:from>
    <xdr:to>
      <xdr:col>9</xdr:col>
      <xdr:colOff>431800</xdr:colOff>
      <xdr:row>42</xdr:row>
      <xdr:rowOff>0</xdr:rowOff>
    </xdr:to>
    <xdr:graphicFrame macro="">
      <xdr:nvGraphicFramePr>
        <xdr:cNvPr id="21" name="Double_LEC">
          <a:extLst>
            <a:ext uri="{FF2B5EF4-FFF2-40B4-BE49-F238E27FC236}">
              <a16:creationId xmlns:a16="http://schemas.microsoft.com/office/drawing/2014/main" id="{9110826B-736C-4EE6-A540-EC8D0A1956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171450</xdr:colOff>
      <xdr:row>1</xdr:row>
      <xdr:rowOff>171450</xdr:rowOff>
    </xdr:from>
    <xdr:to>
      <xdr:col>0</xdr:col>
      <xdr:colOff>1594196</xdr:colOff>
      <xdr:row>1</xdr:row>
      <xdr:rowOff>609290</xdr:rowOff>
    </xdr:to>
    <xdr:pic>
      <xdr:nvPicPr>
        <xdr:cNvPr id="3" name="Logo" descr="ISF logo_red text.jpg">
          <a:extLst>
            <a:ext uri="{FF2B5EF4-FFF2-40B4-BE49-F238E27FC236}">
              <a16:creationId xmlns:a16="http://schemas.microsoft.com/office/drawing/2014/main" id="{CC0214B3-D532-499E-A586-7760D4602A5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200025"/>
          <a:ext cx="1422746" cy="437840"/>
        </a:xfrm>
        <a:prstGeom prst="rect">
          <a:avLst/>
        </a:prstGeom>
      </xdr:spPr>
    </xdr:pic>
    <xdr:clientData/>
  </xdr:twoCellAnchor>
  <xdr:twoCellAnchor editAs="oneCell">
    <xdr:from>
      <xdr:col>0</xdr:col>
      <xdr:colOff>219075</xdr:colOff>
      <xdr:row>4</xdr:row>
      <xdr:rowOff>57150</xdr:rowOff>
    </xdr:from>
    <xdr:to>
      <xdr:col>0</xdr:col>
      <xdr:colOff>819075</xdr:colOff>
      <xdr:row>8</xdr:row>
      <xdr:rowOff>66581</xdr:rowOff>
    </xdr:to>
    <xdr:pic macro="[0]!GoBackWards">
      <xdr:nvPicPr>
        <xdr:cNvPr id="4" name="Picture 3">
          <a:extLst>
            <a:ext uri="{FF2B5EF4-FFF2-40B4-BE49-F238E27FC236}">
              <a16:creationId xmlns:a16="http://schemas.microsoft.com/office/drawing/2014/main" id="{96ED110C-2939-4C70-878E-203FCF610EF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9075" y="1000125"/>
          <a:ext cx="600000" cy="75238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sfemail-my.sharepoint.com/personal/alex_jordan_securityforum_org/Documents/Responsible%20For/QIRA/ISF_Quantitative_Information_Risk_Assessment_Accelerator%20Tool_V.1.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Warning"/>
      <sheetName val="Introduction"/>
      <sheetName val="Scope"/>
      <sheetName val="Collect"/>
      <sheetName val="Calculate"/>
      <sheetName val="Simulate"/>
      <sheetName val="Sim_Static"/>
      <sheetName val="Communicate_Data"/>
      <sheetName val="Communicate"/>
      <sheetName val="Treatment (Collection)"/>
      <sheetName val="Treatment (Summary)"/>
      <sheetName val="Treatment_Data_2"/>
      <sheetName val="Treatment_Data"/>
      <sheetName val="Treatment (Results)"/>
      <sheetName val="Function List"/>
      <sheetName val="ISF_Quantitative_Information_Ri"/>
    </sheetNames>
    <sheetDataSet>
      <sheetData sheetId="0"/>
      <sheetData sheetId="1"/>
      <sheetData sheetId="2"/>
      <sheetData sheetId="3"/>
      <sheetData sheetId="4"/>
      <sheetData sheetId="5"/>
      <sheetData sheetId="6">
        <row r="10">
          <cell r="I10"/>
        </row>
        <row r="16">
          <cell r="B16">
            <v>0</v>
          </cell>
          <cell r="C16" t="str">
            <v/>
          </cell>
          <cell r="D16">
            <v>0</v>
          </cell>
        </row>
        <row r="21">
          <cell r="B21" t="str">
            <v>-</v>
          </cell>
          <cell r="C21" t="str">
            <v/>
          </cell>
          <cell r="D21" t="str">
            <v>-</v>
          </cell>
        </row>
        <row r="26">
          <cell r="B26">
            <v>1</v>
          </cell>
          <cell r="C26">
            <v>1</v>
          </cell>
          <cell r="D26">
            <v>1</v>
          </cell>
        </row>
        <row r="32">
          <cell r="B32" t="str">
            <v>Productivity</v>
          </cell>
          <cell r="C32"/>
          <cell r="D32">
            <v>0</v>
          </cell>
          <cell r="E32" t="str">
            <v/>
          </cell>
          <cell r="F32">
            <v>0</v>
          </cell>
          <cell r="H32"/>
        </row>
        <row r="33">
          <cell r="B33" t="str">
            <v>Response</v>
          </cell>
          <cell r="C33"/>
          <cell r="D33">
            <v>0</v>
          </cell>
          <cell r="E33" t="str">
            <v/>
          </cell>
          <cell r="F33">
            <v>0</v>
          </cell>
          <cell r="H33"/>
        </row>
        <row r="34">
          <cell r="B34" t="str">
            <v>Replacement</v>
          </cell>
          <cell r="C34"/>
          <cell r="D34">
            <v>0</v>
          </cell>
          <cell r="E34" t="str">
            <v/>
          </cell>
          <cell r="F34">
            <v>0</v>
          </cell>
          <cell r="H34"/>
        </row>
        <row r="35">
          <cell r="B35"/>
          <cell r="C35"/>
          <cell r="D35"/>
          <cell r="E35"/>
          <cell r="F35"/>
          <cell r="H35"/>
        </row>
        <row r="36">
          <cell r="B36"/>
          <cell r="C36"/>
          <cell r="D36"/>
          <cell r="E36"/>
          <cell r="F36"/>
          <cell r="H36"/>
        </row>
        <row r="37">
          <cell r="B37"/>
          <cell r="C37"/>
          <cell r="D37"/>
          <cell r="E37"/>
          <cell r="F37"/>
          <cell r="H37"/>
        </row>
        <row r="38">
          <cell r="B38"/>
          <cell r="C38"/>
          <cell r="D38"/>
          <cell r="E38"/>
          <cell r="F38"/>
          <cell r="H38"/>
        </row>
        <row r="39">
          <cell r="B39"/>
          <cell r="C39"/>
          <cell r="D39"/>
          <cell r="E39"/>
          <cell r="F39"/>
          <cell r="H39"/>
        </row>
        <row r="40">
          <cell r="B40"/>
          <cell r="C40"/>
          <cell r="D40"/>
          <cell r="E40"/>
          <cell r="F40"/>
          <cell r="H40"/>
        </row>
        <row r="41">
          <cell r="B41"/>
          <cell r="C41"/>
          <cell r="D41"/>
          <cell r="E41"/>
          <cell r="F41"/>
          <cell r="H41"/>
        </row>
        <row r="47">
          <cell r="B47" t="str">
            <v>Reputation</v>
          </cell>
          <cell r="C47">
            <v>0</v>
          </cell>
          <cell r="D47" t="str">
            <v/>
          </cell>
          <cell r="E47">
            <v>0</v>
          </cell>
        </row>
        <row r="48">
          <cell r="B48" t="str">
            <v>Legal and regulatory</v>
          </cell>
          <cell r="C48">
            <v>0</v>
          </cell>
          <cell r="D48" t="str">
            <v/>
          </cell>
          <cell r="E48">
            <v>0</v>
          </cell>
        </row>
        <row r="49">
          <cell r="B49" t="str">
            <v>Competitive advantage</v>
          </cell>
          <cell r="C49">
            <v>0</v>
          </cell>
          <cell r="D49" t="str">
            <v/>
          </cell>
          <cell r="E49">
            <v>0</v>
          </cell>
        </row>
        <row r="50">
          <cell r="B50"/>
          <cell r="C50"/>
          <cell r="D50"/>
          <cell r="E50"/>
        </row>
        <row r="51">
          <cell r="B51"/>
          <cell r="C51"/>
          <cell r="D51"/>
          <cell r="E51"/>
        </row>
        <row r="52">
          <cell r="B52"/>
          <cell r="C52"/>
          <cell r="D52"/>
          <cell r="E52"/>
        </row>
        <row r="53">
          <cell r="B53"/>
          <cell r="C53"/>
          <cell r="D53"/>
          <cell r="E53"/>
        </row>
        <row r="54">
          <cell r="B54"/>
          <cell r="C54"/>
          <cell r="D54"/>
          <cell r="E54"/>
        </row>
        <row r="55">
          <cell r="B55"/>
          <cell r="C55"/>
          <cell r="D55"/>
          <cell r="E55"/>
        </row>
        <row r="56">
          <cell r="B56"/>
          <cell r="C56"/>
          <cell r="D56"/>
          <cell r="E56"/>
        </row>
        <row r="61">
          <cell r="C61">
            <v>0</v>
          </cell>
          <cell r="D61">
            <v>0</v>
          </cell>
          <cell r="E61">
            <v>0</v>
          </cell>
        </row>
        <row r="62">
          <cell r="C62">
            <v>0</v>
          </cell>
          <cell r="D62">
            <v>0</v>
          </cell>
          <cell r="E62">
            <v>0</v>
          </cell>
        </row>
        <row r="63">
          <cell r="C63">
            <v>0</v>
          </cell>
          <cell r="D63">
            <v>0</v>
          </cell>
          <cell r="E63">
            <v>0</v>
          </cell>
        </row>
        <row r="64">
          <cell r="C64"/>
          <cell r="D64"/>
          <cell r="E64"/>
        </row>
        <row r="65">
          <cell r="C65"/>
          <cell r="D65"/>
          <cell r="E65"/>
        </row>
        <row r="66">
          <cell r="C66"/>
          <cell r="D66"/>
          <cell r="E66"/>
        </row>
        <row r="67">
          <cell r="C67"/>
          <cell r="D67"/>
          <cell r="E67"/>
        </row>
        <row r="68">
          <cell r="C68"/>
          <cell r="D68"/>
          <cell r="E68"/>
        </row>
        <row r="69">
          <cell r="C69"/>
          <cell r="D69"/>
          <cell r="E69"/>
        </row>
        <row r="70">
          <cell r="C70"/>
          <cell r="D70"/>
          <cell r="E70"/>
        </row>
      </sheetData>
      <sheetData sheetId="7"/>
      <sheetData sheetId="8"/>
      <sheetData sheetId="9"/>
      <sheetData sheetId="10"/>
      <sheetData sheetId="11">
        <row r="19">
          <cell r="B19" t="str">
            <v/>
          </cell>
          <cell r="C19" t="str">
            <v/>
          </cell>
          <cell r="D19" t="str">
            <v/>
          </cell>
          <cell r="E19" t="str">
            <v/>
          </cell>
        </row>
        <row r="20">
          <cell r="B20" t="str">
            <v/>
          </cell>
          <cell r="C20" t="str">
            <v/>
          </cell>
          <cell r="D20" t="str">
            <v/>
          </cell>
          <cell r="E20" t="str">
            <v/>
          </cell>
        </row>
        <row r="21">
          <cell r="B21" t="str">
            <v/>
          </cell>
          <cell r="C21" t="str">
            <v/>
          </cell>
          <cell r="D21" t="str">
            <v/>
          </cell>
          <cell r="E21" t="str">
            <v/>
          </cell>
        </row>
        <row r="22">
          <cell r="B22" t="str">
            <v/>
          </cell>
          <cell r="C22" t="str">
            <v/>
          </cell>
          <cell r="D22" t="str">
            <v/>
          </cell>
          <cell r="E22" t="str">
            <v/>
          </cell>
        </row>
        <row r="23">
          <cell r="B23" t="str">
            <v/>
          </cell>
          <cell r="C23" t="str">
            <v/>
          </cell>
          <cell r="D23" t="str">
            <v/>
          </cell>
          <cell r="E23" t="str">
            <v/>
          </cell>
        </row>
        <row r="24">
          <cell r="B24" t="str">
            <v/>
          </cell>
          <cell r="C24" t="str">
            <v/>
          </cell>
          <cell r="D24" t="str">
            <v/>
          </cell>
          <cell r="E24" t="str">
            <v/>
          </cell>
        </row>
        <row r="25">
          <cell r="B25" t="str">
            <v/>
          </cell>
          <cell r="C25" t="str">
            <v/>
          </cell>
          <cell r="D25" t="str">
            <v/>
          </cell>
          <cell r="E25" t="str">
            <v/>
          </cell>
        </row>
        <row r="26">
          <cell r="B26" t="str">
            <v/>
          </cell>
          <cell r="C26" t="str">
            <v/>
          </cell>
          <cell r="D26" t="str">
            <v/>
          </cell>
          <cell r="E26" t="str">
            <v/>
          </cell>
        </row>
        <row r="27">
          <cell r="B27" t="str">
            <v/>
          </cell>
          <cell r="C27" t="str">
            <v/>
          </cell>
          <cell r="D27" t="str">
            <v/>
          </cell>
          <cell r="E27" t="str">
            <v/>
          </cell>
        </row>
        <row r="28">
          <cell r="B28" t="str">
            <v/>
          </cell>
          <cell r="C28" t="str">
            <v/>
          </cell>
          <cell r="D28" t="str">
            <v/>
          </cell>
          <cell r="E28" t="str">
            <v/>
          </cell>
        </row>
        <row r="34">
          <cell r="C34" t="str">
            <v/>
          </cell>
          <cell r="D34" t="str">
            <v/>
          </cell>
          <cell r="E34" t="str">
            <v/>
          </cell>
        </row>
        <row r="35">
          <cell r="C35" t="str">
            <v/>
          </cell>
          <cell r="D35" t="str">
            <v/>
          </cell>
          <cell r="E35" t="str">
            <v/>
          </cell>
        </row>
        <row r="36">
          <cell r="C36" t="str">
            <v/>
          </cell>
          <cell r="D36" t="str">
            <v/>
          </cell>
          <cell r="E36" t="str">
            <v/>
          </cell>
        </row>
        <row r="37">
          <cell r="C37" t="str">
            <v/>
          </cell>
          <cell r="D37" t="str">
            <v/>
          </cell>
          <cell r="E37" t="str">
            <v/>
          </cell>
        </row>
        <row r="38">
          <cell r="C38" t="str">
            <v/>
          </cell>
          <cell r="D38" t="str">
            <v/>
          </cell>
          <cell r="E38" t="str">
            <v/>
          </cell>
        </row>
        <row r="39">
          <cell r="C39" t="str">
            <v/>
          </cell>
          <cell r="D39" t="str">
            <v/>
          </cell>
          <cell r="E39" t="str">
            <v/>
          </cell>
        </row>
        <row r="40">
          <cell r="C40" t="str">
            <v/>
          </cell>
          <cell r="D40" t="str">
            <v/>
          </cell>
          <cell r="E40" t="str">
            <v/>
          </cell>
        </row>
        <row r="41">
          <cell r="C41" t="str">
            <v/>
          </cell>
          <cell r="D41" t="str">
            <v/>
          </cell>
          <cell r="E41" t="str">
            <v/>
          </cell>
        </row>
        <row r="42">
          <cell r="C42" t="str">
            <v/>
          </cell>
          <cell r="D42" t="str">
            <v/>
          </cell>
          <cell r="E42" t="str">
            <v/>
          </cell>
        </row>
        <row r="43">
          <cell r="C43" t="str">
            <v/>
          </cell>
          <cell r="D43" t="str">
            <v/>
          </cell>
          <cell r="E43" t="str">
            <v/>
          </cell>
        </row>
      </sheetData>
      <sheetData sheetId="12"/>
      <sheetData sheetId="13"/>
      <sheetData sheetId="14"/>
      <sheetData sheetId="15"/>
      <sheetData sheetId="16" refreshError="1"/>
    </sheetDataSet>
  </externalBook>
</externalLink>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2E57D-9509-4EBC-AE76-9E4C958B69E5}">
  <sheetPr codeName="Sheet7"/>
  <dimension ref="A1:E34"/>
  <sheetViews>
    <sheetView showGridLines="0" showRowColHeaders="0" zoomScaleNormal="100" workbookViewId="0">
      <selection activeCell="C17" sqref="C17"/>
    </sheetView>
  </sheetViews>
  <sheetFormatPr defaultColWidth="8.85546875" defaultRowHeight="15" x14ac:dyDescent="0.25"/>
  <cols>
    <col min="1" max="1" width="0.140625" style="27" customWidth="1"/>
    <col min="2" max="2" width="25.7109375" style="27" customWidth="1"/>
    <col min="3" max="3" width="182.7109375" style="27" customWidth="1"/>
    <col min="4" max="4" width="0.7109375" style="27" customWidth="1"/>
    <col min="5" max="16384" width="8.85546875" style="27"/>
  </cols>
  <sheetData>
    <row r="1" spans="1:5" ht="2.25" customHeight="1" x14ac:dyDescent="0.25"/>
    <row r="2" spans="1:5" ht="65.099999999999994" customHeight="1" x14ac:dyDescent="0.25">
      <c r="A2"/>
      <c r="B2"/>
      <c r="C2"/>
      <c r="D2"/>
      <c r="E2"/>
    </row>
    <row r="3" spans="1:5" ht="3" customHeight="1" x14ac:dyDescent="0.25">
      <c r="A3"/>
      <c r="B3"/>
      <c r="C3"/>
      <c r="D3"/>
      <c r="E3"/>
    </row>
    <row r="4" spans="1:5" ht="5.0999999999999996" customHeight="1" x14ac:dyDescent="0.25">
      <c r="A4" s="44"/>
      <c r="B4" s="44"/>
      <c r="C4" s="25"/>
      <c r="D4"/>
      <c r="E4"/>
    </row>
    <row r="5" spans="1:5" x14ac:dyDescent="0.25">
      <c r="A5"/>
      <c r="B5"/>
      <c r="C5"/>
      <c r="D5"/>
      <c r="E5"/>
    </row>
    <row r="6" spans="1:5" x14ac:dyDescent="0.25">
      <c r="A6"/>
      <c r="B6"/>
    </row>
    <row r="30" spans="1:3" x14ac:dyDescent="0.25">
      <c r="A30"/>
      <c r="B30"/>
      <c r="C30" s="45" t="s">
        <v>0</v>
      </c>
    </row>
    <row r="31" spans="1:3" ht="5.0999999999999996" customHeight="1" x14ac:dyDescent="0.25">
      <c r="A31" s="44"/>
      <c r="B31" s="44"/>
      <c r="C31" s="25"/>
    </row>
    <row r="32" spans="1:3" x14ac:dyDescent="0.25">
      <c r="A32"/>
      <c r="B32"/>
      <c r="C32"/>
    </row>
    <row r="33" spans="1:2" x14ac:dyDescent="0.25">
      <c r="A33"/>
      <c r="B33"/>
    </row>
    <row r="34" spans="1:2" x14ac:dyDescent="0.25">
      <c r="A34"/>
      <c r="B34"/>
    </row>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79A80-F340-4546-AAC2-A01E03B2F35B}">
  <sheetPr codeName="Sheet10"/>
  <dimension ref="A1:Y27"/>
  <sheetViews>
    <sheetView showGridLines="0" showRowColHeaders="0" zoomScale="120" zoomScaleNormal="120" workbookViewId="0"/>
  </sheetViews>
  <sheetFormatPr defaultColWidth="8.85546875" defaultRowHeight="15" x14ac:dyDescent="0.25"/>
  <cols>
    <col min="1" max="1" width="0.140625" style="26" customWidth="1"/>
    <col min="2" max="2" width="25.7109375" style="26" customWidth="1"/>
    <col min="3" max="3" width="2.140625" style="26" customWidth="1"/>
    <col min="4" max="5" width="0.42578125" style="26" customWidth="1"/>
    <col min="6" max="6" width="12.42578125" style="26" customWidth="1"/>
    <col min="7" max="8" width="5.140625" style="26" customWidth="1"/>
    <col min="9" max="9" width="6.42578125" style="26" customWidth="1"/>
    <col min="10" max="10" width="7" style="26" customWidth="1"/>
    <col min="11" max="25" width="8.85546875" style="26"/>
    <col min="26" max="26" width="0.42578125" style="26" customWidth="1"/>
    <col min="27" max="16384" width="8.85546875" style="26"/>
  </cols>
  <sheetData>
    <row r="1" spans="1:25" ht="2.25" customHeight="1" x14ac:dyDescent="0.25"/>
    <row r="2" spans="1:25" ht="65.099999999999994" customHeight="1" x14ac:dyDescent="0.25">
      <c r="C2" s="254" t="s">
        <v>1</v>
      </c>
      <c r="D2" s="254"/>
      <c r="E2" s="254"/>
      <c r="F2" s="254"/>
      <c r="G2" s="254"/>
      <c r="H2" s="254"/>
      <c r="I2" s="254"/>
      <c r="J2" s="254"/>
    </row>
    <row r="3" spans="1:25" ht="3" customHeight="1" x14ac:dyDescent="0.25">
      <c r="C3" s="145"/>
      <c r="D3" s="145"/>
      <c r="E3" s="145"/>
      <c r="F3" s="145"/>
      <c r="G3" s="145"/>
      <c r="H3" s="145"/>
      <c r="I3" s="145"/>
      <c r="J3" s="145"/>
    </row>
    <row r="4" spans="1:25" ht="5.0999999999999996" customHeight="1" x14ac:dyDescent="0.25">
      <c r="A4" s="39"/>
      <c r="B4" s="39"/>
      <c r="C4" s="40"/>
      <c r="D4" s="40"/>
      <c r="E4" s="40"/>
      <c r="F4" s="40"/>
      <c r="G4" s="40"/>
      <c r="H4" s="40"/>
      <c r="I4" s="40"/>
      <c r="J4" s="40"/>
      <c r="K4" s="40"/>
      <c r="L4" s="40"/>
      <c r="M4" s="40"/>
      <c r="N4" s="40"/>
      <c r="O4" s="40"/>
      <c r="P4" s="40"/>
      <c r="Q4" s="40"/>
      <c r="R4" s="40"/>
      <c r="S4" s="40"/>
      <c r="T4" s="40"/>
      <c r="U4" s="40"/>
      <c r="V4" s="40"/>
      <c r="W4" s="40"/>
      <c r="X4" s="40"/>
      <c r="Y4" s="40"/>
    </row>
    <row r="5" spans="1:25" ht="45" customHeight="1" x14ac:dyDescent="0.25">
      <c r="A5"/>
      <c r="K5"/>
    </row>
    <row r="6" spans="1:25" ht="5.0999999999999996" customHeight="1" x14ac:dyDescent="0.25">
      <c r="E6" s="40"/>
    </row>
    <row r="7" spans="1:25" ht="3" customHeight="1" x14ac:dyDescent="0.25">
      <c r="E7" s="40"/>
    </row>
    <row r="8" spans="1:25" ht="18" customHeight="1" x14ac:dyDescent="0.25">
      <c r="D8" s="255" t="s">
        <v>2</v>
      </c>
      <c r="E8" s="255"/>
      <c r="F8" s="255"/>
      <c r="G8"/>
    </row>
    <row r="9" spans="1:25" ht="15" customHeight="1" x14ac:dyDescent="0.25">
      <c r="E9" s="40"/>
      <c r="F9" s="41"/>
      <c r="G9" s="41"/>
      <c r="H9" s="41"/>
      <c r="I9" s="41"/>
      <c r="J9" s="41"/>
      <c r="K9" s="41"/>
      <c r="L9" s="41"/>
      <c r="M9" s="41"/>
      <c r="N9" s="41"/>
      <c r="O9" s="41"/>
      <c r="P9" s="41"/>
      <c r="Q9" s="41"/>
      <c r="R9" s="41"/>
      <c r="S9" s="41"/>
      <c r="T9" s="41"/>
      <c r="U9" s="41"/>
      <c r="V9" s="41"/>
      <c r="W9" s="41"/>
      <c r="X9" s="41"/>
      <c r="Y9" s="41"/>
    </row>
    <row r="10" spans="1:25" ht="60" customHeight="1" x14ac:dyDescent="0.25">
      <c r="E10" s="40"/>
      <c r="F10" s="256" t="s">
        <v>3</v>
      </c>
      <c r="G10" s="256"/>
      <c r="H10" s="256"/>
      <c r="I10" s="256"/>
      <c r="J10" s="256"/>
      <c r="K10" s="256"/>
      <c r="L10" s="256"/>
      <c r="M10" s="256"/>
      <c r="N10" s="256"/>
      <c r="O10" s="256"/>
      <c r="P10" s="256"/>
      <c r="Q10" s="256"/>
      <c r="R10" s="256"/>
      <c r="S10" s="256"/>
      <c r="T10" s="256"/>
      <c r="U10" s="256"/>
      <c r="V10" s="256"/>
      <c r="W10" s="256"/>
      <c r="X10" s="256"/>
      <c r="Y10" s="256"/>
    </row>
    <row r="11" spans="1:25" ht="15" customHeight="1" x14ac:dyDescent="0.25">
      <c r="E11" s="40"/>
      <c r="F11" s="41"/>
      <c r="G11" s="41"/>
      <c r="H11" s="41"/>
      <c r="I11" s="41"/>
      <c r="J11" s="41"/>
      <c r="K11" s="41"/>
      <c r="L11" s="41"/>
      <c r="M11" s="41"/>
      <c r="N11" s="41"/>
      <c r="O11" s="41"/>
      <c r="P11" s="41"/>
      <c r="Q11" s="41"/>
      <c r="R11" s="41"/>
      <c r="S11" s="41"/>
      <c r="T11" s="41"/>
      <c r="U11" s="41"/>
      <c r="V11" s="41"/>
      <c r="W11" s="41"/>
      <c r="X11" s="41"/>
      <c r="Y11" s="41"/>
    </row>
    <row r="12" spans="1:25" ht="15" customHeight="1" x14ac:dyDescent="0.25"/>
    <row r="13" spans="1:25" ht="5.0999999999999996" customHeight="1" x14ac:dyDescent="0.25">
      <c r="E13" s="40"/>
    </row>
    <row r="14" spans="1:25" ht="15.75" x14ac:dyDescent="0.25">
      <c r="D14" s="255" t="s">
        <v>4</v>
      </c>
      <c r="E14" s="255"/>
      <c r="F14" s="255"/>
      <c r="G14" s="255"/>
    </row>
    <row r="15" spans="1:25" x14ac:dyDescent="0.25">
      <c r="E15" s="40"/>
      <c r="F15" s="257" t="s">
        <v>5</v>
      </c>
      <c r="G15" s="257"/>
      <c r="H15" s="257"/>
      <c r="I15" s="257"/>
      <c r="J15" s="257"/>
      <c r="K15" s="257"/>
      <c r="L15" s="257"/>
      <c r="M15" s="257"/>
      <c r="N15" s="257"/>
      <c r="O15" s="257"/>
      <c r="P15" s="257"/>
      <c r="Q15" s="257"/>
      <c r="R15" s="257"/>
      <c r="S15" s="257"/>
      <c r="T15" s="257"/>
      <c r="U15" s="257"/>
      <c r="V15" s="257"/>
      <c r="W15" s="257"/>
      <c r="X15" s="257"/>
      <c r="Y15" s="257"/>
    </row>
    <row r="16" spans="1:25" x14ac:dyDescent="0.25">
      <c r="L16"/>
      <c r="M16"/>
      <c r="N16"/>
      <c r="O16"/>
      <c r="P16"/>
      <c r="Q16"/>
      <c r="R16"/>
      <c r="S16"/>
      <c r="T16"/>
      <c r="U16"/>
      <c r="V16"/>
      <c r="W16"/>
      <c r="X16"/>
      <c r="Y16"/>
    </row>
    <row r="17" spans="12:25" x14ac:dyDescent="0.25">
      <c r="L17"/>
      <c r="M17"/>
      <c r="N17"/>
      <c r="O17"/>
      <c r="P17"/>
      <c r="Q17"/>
      <c r="R17"/>
      <c r="S17"/>
      <c r="T17"/>
      <c r="U17"/>
      <c r="V17"/>
      <c r="W17"/>
      <c r="X17"/>
      <c r="Y17"/>
    </row>
    <row r="18" spans="12:25" x14ac:dyDescent="0.25">
      <c r="L18"/>
      <c r="M18"/>
      <c r="N18"/>
      <c r="O18"/>
      <c r="P18"/>
      <c r="Q18"/>
      <c r="R18"/>
      <c r="S18"/>
      <c r="T18"/>
      <c r="U18"/>
      <c r="V18"/>
      <c r="W18"/>
      <c r="X18"/>
      <c r="Y18"/>
    </row>
    <row r="19" spans="12:25" x14ac:dyDescent="0.25">
      <c r="L19"/>
      <c r="M19"/>
      <c r="N19"/>
      <c r="O19"/>
      <c r="P19"/>
      <c r="Q19"/>
      <c r="R19"/>
      <c r="S19"/>
      <c r="T19"/>
      <c r="U19"/>
      <c r="V19"/>
      <c r="W19"/>
      <c r="X19"/>
      <c r="Y19"/>
    </row>
    <row r="20" spans="12:25" x14ac:dyDescent="0.25">
      <c r="L20"/>
      <c r="M20"/>
      <c r="N20"/>
      <c r="O20"/>
      <c r="P20"/>
      <c r="Q20"/>
      <c r="R20"/>
      <c r="S20"/>
      <c r="T20"/>
      <c r="U20"/>
      <c r="V20"/>
      <c r="W20"/>
      <c r="X20"/>
      <c r="Y20"/>
    </row>
    <row r="21" spans="12:25" x14ac:dyDescent="0.25">
      <c r="L21"/>
      <c r="M21"/>
      <c r="N21"/>
      <c r="O21"/>
      <c r="P21"/>
      <c r="Q21"/>
      <c r="R21"/>
      <c r="S21"/>
      <c r="T21"/>
      <c r="U21"/>
      <c r="V21"/>
      <c r="W21"/>
      <c r="X21"/>
      <c r="Y21"/>
    </row>
    <row r="22" spans="12:25" x14ac:dyDescent="0.25">
      <c r="L22"/>
      <c r="M22"/>
      <c r="N22"/>
      <c r="O22"/>
      <c r="P22"/>
      <c r="Q22"/>
      <c r="R22"/>
      <c r="S22"/>
      <c r="T22"/>
      <c r="U22"/>
      <c r="V22"/>
      <c r="W22"/>
      <c r="X22"/>
      <c r="Y22"/>
    </row>
    <row r="23" spans="12:25" x14ac:dyDescent="0.25">
      <c r="L23"/>
      <c r="M23"/>
      <c r="N23"/>
      <c r="O23"/>
      <c r="P23"/>
      <c r="Q23"/>
      <c r="R23"/>
      <c r="S23"/>
      <c r="T23"/>
      <c r="U23"/>
      <c r="V23"/>
      <c r="W23"/>
      <c r="X23"/>
      <c r="Y23"/>
    </row>
    <row r="24" spans="12:25" x14ac:dyDescent="0.25">
      <c r="L24"/>
      <c r="M24"/>
      <c r="N24"/>
      <c r="O24"/>
      <c r="P24"/>
      <c r="Q24"/>
      <c r="R24"/>
      <c r="S24"/>
      <c r="T24"/>
      <c r="U24"/>
      <c r="V24"/>
      <c r="W24"/>
      <c r="X24"/>
      <c r="Y24"/>
    </row>
    <row r="25" spans="12:25" x14ac:dyDescent="0.25">
      <c r="L25"/>
      <c r="M25"/>
      <c r="N25"/>
      <c r="O25"/>
      <c r="P25"/>
      <c r="Q25"/>
      <c r="R25"/>
      <c r="S25"/>
      <c r="T25"/>
      <c r="U25"/>
      <c r="V25"/>
      <c r="W25"/>
      <c r="X25"/>
      <c r="Y25"/>
    </row>
    <row r="26" spans="12:25" x14ac:dyDescent="0.25">
      <c r="L26"/>
      <c r="M26"/>
      <c r="N26"/>
      <c r="O26"/>
      <c r="P26"/>
      <c r="Q26"/>
      <c r="R26"/>
      <c r="S26"/>
      <c r="T26"/>
      <c r="U26"/>
      <c r="V26"/>
      <c r="W26"/>
      <c r="X26"/>
      <c r="Y26"/>
    </row>
    <row r="27" spans="12:25" x14ac:dyDescent="0.25">
      <c r="L27"/>
      <c r="M27"/>
      <c r="N27"/>
      <c r="O27"/>
      <c r="P27"/>
      <c r="Q27"/>
      <c r="R27"/>
      <c r="S27"/>
      <c r="T27"/>
      <c r="U27"/>
      <c r="V27"/>
      <c r="W27"/>
      <c r="X27"/>
      <c r="Y27"/>
    </row>
  </sheetData>
  <sheetProtection sheet="1" objects="1" scenarios="1" selectLockedCells="1" selectUnlockedCells="1"/>
  <mergeCells count="5">
    <mergeCell ref="C2:J2"/>
    <mergeCell ref="D8:F8"/>
    <mergeCell ref="F10:Y10"/>
    <mergeCell ref="D14:G14"/>
    <mergeCell ref="F15:Y1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E4B44-036D-483B-947B-5F5AF1429F9F}">
  <sheetPr codeName="Sheet12"/>
  <dimension ref="A1:T35"/>
  <sheetViews>
    <sheetView showGridLines="0" showRowColHeaders="0" zoomScaleNormal="100" workbookViewId="0"/>
  </sheetViews>
  <sheetFormatPr defaultColWidth="8.85546875" defaultRowHeight="15" x14ac:dyDescent="0.25"/>
  <cols>
    <col min="1" max="1" width="25.7109375" style="26" customWidth="1"/>
    <col min="2" max="2" width="2.140625" style="26" customWidth="1"/>
    <col min="3" max="3" width="12.42578125" style="26" customWidth="1"/>
    <col min="4" max="5" width="5.140625" style="26" customWidth="1"/>
    <col min="6" max="6" width="6.42578125" style="26" customWidth="1"/>
    <col min="7" max="7" width="13" style="26" customWidth="1"/>
    <col min="8" max="17" width="8.85546875" style="26"/>
    <col min="18" max="18" width="0.42578125" style="26" customWidth="1"/>
    <col min="19" max="16384" width="8.85546875" style="26"/>
  </cols>
  <sheetData>
    <row r="1" spans="1:20" ht="2.25" customHeight="1" x14ac:dyDescent="0.25"/>
    <row r="2" spans="1:20" ht="65.099999999999994" customHeight="1" x14ac:dyDescent="0.25">
      <c r="B2" s="254" t="s">
        <v>6</v>
      </c>
      <c r="C2" s="254"/>
      <c r="D2" s="254"/>
      <c r="E2" s="254"/>
      <c r="F2" s="254"/>
      <c r="G2" s="254"/>
    </row>
    <row r="3" spans="1:20" ht="3" customHeight="1" x14ac:dyDescent="0.25">
      <c r="B3" s="145"/>
      <c r="C3" s="145"/>
      <c r="D3" s="145"/>
      <c r="E3" s="145"/>
      <c r="F3" s="145"/>
      <c r="G3" s="145"/>
    </row>
    <row r="4" spans="1:20" ht="5.0999999999999996" customHeight="1" x14ac:dyDescent="0.25">
      <c r="A4" s="39"/>
      <c r="B4" s="40"/>
      <c r="C4" s="40"/>
      <c r="D4" s="40"/>
      <c r="E4" s="40"/>
      <c r="F4" s="40"/>
      <c r="G4" s="40"/>
      <c r="H4" s="40"/>
      <c r="I4" s="40"/>
      <c r="J4" s="40"/>
      <c r="K4" s="40"/>
      <c r="L4" s="40"/>
      <c r="M4" s="40"/>
      <c r="N4" s="40"/>
      <c r="O4" s="40"/>
      <c r="P4" s="40"/>
      <c r="Q4" s="40"/>
    </row>
    <row r="5" spans="1:20" ht="75" customHeight="1" x14ac:dyDescent="0.25">
      <c r="A5" s="158"/>
      <c r="B5" s="258" t="s">
        <v>7</v>
      </c>
      <c r="C5" s="258"/>
      <c r="D5" s="258"/>
      <c r="E5" s="258"/>
      <c r="F5" s="258"/>
      <c r="G5" s="258"/>
      <c r="H5" s="258"/>
      <c r="I5" s="258"/>
      <c r="J5" s="258"/>
      <c r="K5" s="258"/>
      <c r="L5" s="258"/>
      <c r="M5" s="258"/>
      <c r="N5" s="258"/>
      <c r="O5" s="258"/>
      <c r="P5" s="258"/>
      <c r="Q5" s="258"/>
      <c r="R5"/>
      <c r="S5"/>
      <c r="T5"/>
    </row>
    <row r="6" spans="1:20" ht="5.0999999999999996" customHeight="1" x14ac:dyDescent="0.25">
      <c r="B6"/>
      <c r="C6"/>
      <c r="D6"/>
      <c r="E6"/>
      <c r="F6"/>
      <c r="G6"/>
      <c r="H6"/>
      <c r="I6"/>
      <c r="J6"/>
      <c r="K6"/>
      <c r="L6"/>
      <c r="M6"/>
      <c r="N6"/>
      <c r="O6"/>
      <c r="P6"/>
      <c r="Q6"/>
      <c r="R6"/>
      <c r="S6"/>
      <c r="T6"/>
    </row>
    <row r="7" spans="1:20" ht="3" customHeight="1" x14ac:dyDescent="0.25">
      <c r="B7"/>
      <c r="C7"/>
      <c r="D7"/>
      <c r="E7"/>
      <c r="F7"/>
      <c r="G7"/>
      <c r="H7"/>
      <c r="I7"/>
      <c r="J7"/>
      <c r="K7"/>
      <c r="L7"/>
      <c r="M7"/>
      <c r="N7"/>
      <c r="O7"/>
      <c r="P7"/>
      <c r="Q7"/>
      <c r="R7"/>
      <c r="S7"/>
      <c r="T7"/>
    </row>
    <row r="8" spans="1:20" ht="18" customHeight="1" x14ac:dyDescent="0.25">
      <c r="B8"/>
      <c r="C8"/>
      <c r="D8"/>
      <c r="E8"/>
      <c r="F8"/>
      <c r="G8"/>
      <c r="H8"/>
      <c r="I8"/>
      <c r="J8"/>
      <c r="K8"/>
      <c r="L8"/>
      <c r="M8"/>
      <c r="N8"/>
      <c r="O8"/>
      <c r="P8"/>
      <c r="Q8"/>
      <c r="R8"/>
      <c r="S8"/>
      <c r="T8"/>
    </row>
    <row r="9" spans="1:20" ht="15" customHeight="1" x14ac:dyDescent="0.25">
      <c r="B9"/>
      <c r="C9"/>
      <c r="D9"/>
      <c r="E9"/>
      <c r="F9"/>
      <c r="G9"/>
      <c r="H9"/>
      <c r="I9"/>
      <c r="J9"/>
      <c r="K9"/>
      <c r="L9"/>
      <c r="M9"/>
      <c r="N9"/>
      <c r="O9"/>
      <c r="P9"/>
      <c r="Q9"/>
      <c r="R9"/>
      <c r="S9"/>
      <c r="T9"/>
    </row>
    <row r="10" spans="1:20" ht="60" customHeight="1" x14ac:dyDescent="0.25">
      <c r="B10"/>
      <c r="C10"/>
      <c r="D10"/>
      <c r="E10"/>
      <c r="F10"/>
      <c r="G10"/>
      <c r="H10"/>
      <c r="I10"/>
      <c r="J10"/>
      <c r="K10"/>
      <c r="L10"/>
      <c r="M10"/>
      <c r="N10"/>
      <c r="O10"/>
      <c r="P10"/>
      <c r="Q10"/>
      <c r="R10"/>
      <c r="S10"/>
      <c r="T10"/>
    </row>
    <row r="11" spans="1:20" ht="15" customHeight="1" x14ac:dyDescent="0.25">
      <c r="B11"/>
      <c r="C11"/>
      <c r="D11"/>
      <c r="E11"/>
      <c r="F11"/>
      <c r="G11"/>
      <c r="H11"/>
      <c r="I11"/>
      <c r="J11"/>
      <c r="K11"/>
      <c r="L11"/>
      <c r="M11"/>
      <c r="N11"/>
      <c r="O11"/>
      <c r="P11"/>
      <c r="Q11"/>
      <c r="R11"/>
      <c r="S11"/>
      <c r="T11"/>
    </row>
    <row r="12" spans="1:20" ht="15" customHeight="1" x14ac:dyDescent="0.25">
      <c r="A12"/>
      <c r="B12"/>
      <c r="C12"/>
      <c r="D12"/>
      <c r="E12"/>
      <c r="F12"/>
      <c r="G12"/>
      <c r="H12"/>
      <c r="I12"/>
      <c r="J12"/>
      <c r="K12"/>
      <c r="L12"/>
      <c r="M12"/>
      <c r="N12"/>
      <c r="O12"/>
      <c r="P12"/>
      <c r="Q12"/>
      <c r="R12"/>
      <c r="S12"/>
      <c r="T12"/>
    </row>
    <row r="13" spans="1:20" ht="5.0999999999999996" customHeight="1" x14ac:dyDescent="0.25">
      <c r="A13"/>
      <c r="B13"/>
      <c r="C13"/>
      <c r="D13"/>
      <c r="E13"/>
      <c r="F13"/>
      <c r="G13"/>
      <c r="H13"/>
      <c r="I13"/>
      <c r="J13"/>
      <c r="K13"/>
      <c r="L13"/>
      <c r="M13"/>
      <c r="N13"/>
      <c r="O13"/>
      <c r="P13"/>
      <c r="Q13"/>
      <c r="R13"/>
      <c r="S13"/>
      <c r="T13"/>
    </row>
    <row r="14" spans="1:20" x14ac:dyDescent="0.25">
      <c r="A14"/>
      <c r="B14"/>
      <c r="C14"/>
      <c r="D14"/>
      <c r="E14"/>
      <c r="F14"/>
      <c r="G14"/>
      <c r="H14"/>
      <c r="I14"/>
      <c r="J14"/>
      <c r="K14"/>
      <c r="L14"/>
      <c r="M14"/>
      <c r="N14"/>
      <c r="O14"/>
      <c r="P14"/>
      <c r="Q14"/>
      <c r="R14"/>
      <c r="S14"/>
      <c r="T14"/>
    </row>
    <row r="15" spans="1:20" x14ac:dyDescent="0.25">
      <c r="A15"/>
      <c r="B15"/>
      <c r="C15"/>
      <c r="D15"/>
      <c r="E15"/>
      <c r="F15"/>
      <c r="G15"/>
      <c r="H15"/>
      <c r="I15"/>
      <c r="J15"/>
      <c r="K15"/>
      <c r="L15"/>
      <c r="M15"/>
      <c r="N15"/>
      <c r="O15"/>
      <c r="P15"/>
      <c r="Q15"/>
      <c r="R15"/>
      <c r="S15"/>
      <c r="T15"/>
    </row>
    <row r="16" spans="1:20" x14ac:dyDescent="0.25">
      <c r="A16"/>
      <c r="B16"/>
      <c r="C16"/>
      <c r="D16"/>
      <c r="E16"/>
      <c r="F16"/>
      <c r="G16"/>
      <c r="H16"/>
      <c r="I16"/>
      <c r="J16"/>
      <c r="K16"/>
      <c r="L16"/>
      <c r="M16"/>
      <c r="N16"/>
      <c r="O16"/>
      <c r="P16"/>
      <c r="Q16"/>
      <c r="R16"/>
      <c r="S16"/>
      <c r="T16"/>
    </row>
    <row r="17" spans="1:20" x14ac:dyDescent="0.25">
      <c r="A17"/>
      <c r="B17"/>
      <c r="C17"/>
      <c r="D17"/>
      <c r="E17"/>
      <c r="F17"/>
      <c r="G17"/>
      <c r="H17"/>
      <c r="I17"/>
      <c r="J17"/>
      <c r="K17"/>
      <c r="L17"/>
      <c r="M17"/>
      <c r="N17"/>
      <c r="O17"/>
      <c r="P17"/>
      <c r="Q17"/>
      <c r="R17"/>
      <c r="S17"/>
      <c r="T17"/>
    </row>
    <row r="18" spans="1:20" x14ac:dyDescent="0.25">
      <c r="A18"/>
      <c r="B18"/>
      <c r="C18"/>
      <c r="D18"/>
      <c r="E18"/>
      <c r="F18"/>
      <c r="G18"/>
      <c r="H18"/>
      <c r="I18"/>
      <c r="J18"/>
      <c r="K18"/>
      <c r="L18"/>
      <c r="M18"/>
      <c r="N18"/>
      <c r="O18"/>
      <c r="P18"/>
      <c r="Q18"/>
      <c r="R18"/>
      <c r="S18"/>
      <c r="T18"/>
    </row>
    <row r="19" spans="1:20" x14ac:dyDescent="0.25">
      <c r="I19"/>
      <c r="J19"/>
      <c r="K19"/>
      <c r="L19"/>
      <c r="M19"/>
      <c r="N19"/>
      <c r="O19"/>
      <c r="P19"/>
      <c r="Q19"/>
    </row>
    <row r="20" spans="1:20" x14ac:dyDescent="0.25">
      <c r="I20"/>
      <c r="J20"/>
      <c r="K20"/>
      <c r="L20"/>
      <c r="M20"/>
      <c r="N20"/>
      <c r="O20"/>
      <c r="P20"/>
      <c r="Q20"/>
    </row>
    <row r="21" spans="1:20" x14ac:dyDescent="0.25">
      <c r="I21"/>
      <c r="J21"/>
      <c r="K21"/>
      <c r="L21"/>
      <c r="M21"/>
      <c r="N21"/>
      <c r="O21"/>
      <c r="P21"/>
      <c r="Q21"/>
    </row>
    <row r="22" spans="1:20" x14ac:dyDescent="0.25">
      <c r="I22"/>
      <c r="J22"/>
      <c r="K22"/>
      <c r="L22"/>
      <c r="M22"/>
      <c r="N22"/>
      <c r="O22"/>
      <c r="P22"/>
      <c r="Q22"/>
    </row>
    <row r="23" spans="1:20" x14ac:dyDescent="0.25">
      <c r="I23"/>
      <c r="J23"/>
      <c r="K23"/>
      <c r="L23"/>
      <c r="M23"/>
      <c r="N23"/>
      <c r="O23"/>
      <c r="P23"/>
      <c r="Q23"/>
    </row>
    <row r="24" spans="1:20" x14ac:dyDescent="0.25">
      <c r="I24"/>
      <c r="J24"/>
      <c r="K24"/>
      <c r="L24"/>
      <c r="M24"/>
      <c r="N24"/>
      <c r="O24"/>
      <c r="P24"/>
      <c r="Q24"/>
    </row>
    <row r="25" spans="1:20" x14ac:dyDescent="0.25">
      <c r="I25"/>
      <c r="J25"/>
      <c r="K25"/>
      <c r="L25"/>
      <c r="M25"/>
      <c r="N25"/>
      <c r="O25"/>
      <c r="P25"/>
      <c r="Q25"/>
    </row>
    <row r="26" spans="1:20" x14ac:dyDescent="0.25">
      <c r="I26"/>
      <c r="J26"/>
      <c r="K26"/>
      <c r="L26"/>
      <c r="M26"/>
      <c r="N26"/>
      <c r="O26"/>
      <c r="P26"/>
      <c r="Q26"/>
    </row>
    <row r="27" spans="1:20" x14ac:dyDescent="0.25">
      <c r="I27"/>
      <c r="J27"/>
      <c r="K27"/>
      <c r="L27"/>
      <c r="M27"/>
      <c r="N27"/>
      <c r="O27"/>
      <c r="P27"/>
      <c r="Q27"/>
    </row>
    <row r="35" spans="1:17" ht="4.5" customHeight="1" x14ac:dyDescent="0.25">
      <c r="A35" s="39"/>
      <c r="B35" s="40"/>
      <c r="C35" s="40"/>
      <c r="D35" s="40"/>
      <c r="E35" s="40"/>
      <c r="F35" s="40"/>
      <c r="G35" s="40"/>
      <c r="H35" s="40"/>
      <c r="I35" s="40"/>
      <c r="J35" s="40"/>
      <c r="K35" s="40"/>
      <c r="L35" s="40"/>
      <c r="M35" s="40"/>
      <c r="N35" s="40"/>
      <c r="O35" s="40"/>
      <c r="P35" s="40"/>
      <c r="Q35" s="40"/>
    </row>
  </sheetData>
  <sheetProtection sheet="1" objects="1" scenarios="1" selectLockedCells="1" selectUnlockedCells="1"/>
  <mergeCells count="2">
    <mergeCell ref="B2:G2"/>
    <mergeCell ref="B5:Q5"/>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40251-A08B-4BD3-9EE4-6EF957D5B06D}">
  <sheetPr codeName="Sheet11"/>
  <dimension ref="A1:AB55"/>
  <sheetViews>
    <sheetView showGridLines="0" showRowColHeaders="0" topLeftCell="A13" zoomScale="190" zoomScaleNormal="190" workbookViewId="0">
      <selection activeCell="C18" sqref="C18"/>
    </sheetView>
  </sheetViews>
  <sheetFormatPr defaultColWidth="9.140625" defaultRowHeight="15" x14ac:dyDescent="0.25"/>
  <cols>
    <col min="1" max="1" width="25.7109375" customWidth="1"/>
    <col min="2" max="2" width="34.7109375" customWidth="1"/>
    <col min="3" max="3" width="50.7109375" customWidth="1"/>
    <col min="4" max="4" width="25" customWidth="1"/>
    <col min="7" max="7" width="0.42578125" customWidth="1"/>
    <col min="17" max="17" width="9.140625" hidden="1" customWidth="1"/>
    <col min="18" max="19" width="42.85546875" hidden="1" customWidth="1"/>
    <col min="20" max="21" width="37.28515625" hidden="1" customWidth="1"/>
    <col min="22" max="23" width="37.140625" hidden="1" customWidth="1"/>
    <col min="24" max="24" width="28" hidden="1" customWidth="1"/>
    <col min="25" max="28" width="9.140625" hidden="1" customWidth="1"/>
    <col min="29" max="29" width="0" hidden="1" customWidth="1"/>
  </cols>
  <sheetData>
    <row r="1" spans="1:26" ht="2.25" customHeight="1" x14ac:dyDescent="0.25">
      <c r="A1" s="46"/>
      <c r="R1" s="5" t="s">
        <v>8</v>
      </c>
      <c r="S1" s="5"/>
      <c r="T1" s="5" t="s">
        <v>9</v>
      </c>
      <c r="U1" s="5"/>
      <c r="V1" s="5" t="s">
        <v>10</v>
      </c>
      <c r="W1" s="5"/>
      <c r="X1" s="5" t="s">
        <v>11</v>
      </c>
    </row>
    <row r="2" spans="1:26" ht="65.099999999999994" customHeight="1" x14ac:dyDescent="0.25">
      <c r="A2" s="46"/>
      <c r="B2" s="142" t="s">
        <v>12</v>
      </c>
      <c r="R2" s="5"/>
      <c r="S2" s="5"/>
      <c r="T2" s="5"/>
      <c r="U2" s="5"/>
      <c r="V2" s="5"/>
      <c r="W2" s="5"/>
      <c r="X2" s="5"/>
    </row>
    <row r="3" spans="1:26" ht="3" customHeight="1" x14ac:dyDescent="0.25"/>
    <row r="4" spans="1:26" ht="5.0999999999999996" customHeight="1" x14ac:dyDescent="0.25">
      <c r="A4" s="25"/>
      <c r="B4" s="47"/>
      <c r="C4" s="47"/>
      <c r="D4" s="47"/>
      <c r="E4" s="47"/>
      <c r="F4" s="47"/>
    </row>
    <row r="5" spans="1:26" ht="60" customHeight="1" x14ac:dyDescent="0.25">
      <c r="B5" s="259" t="s">
        <v>13</v>
      </c>
      <c r="C5" s="259"/>
      <c r="D5" s="259"/>
      <c r="E5" s="259"/>
      <c r="F5" s="259"/>
      <c r="R5" t="s">
        <v>14</v>
      </c>
      <c r="T5" t="s">
        <v>14</v>
      </c>
      <c r="V5" t="s">
        <v>14</v>
      </c>
      <c r="X5" t="s">
        <v>14</v>
      </c>
    </row>
    <row r="6" spans="1:26" ht="24.95" customHeight="1" x14ac:dyDescent="0.3">
      <c r="B6" s="48" t="s">
        <v>15</v>
      </c>
      <c r="R6" s="111" t="s">
        <v>16</v>
      </c>
      <c r="S6" t="str">
        <f>LOWER(R6)</f>
        <v>competitor</v>
      </c>
      <c r="T6" s="111" t="s">
        <v>17</v>
      </c>
      <c r="U6" t="str">
        <f>LOWER(T6:T25)</f>
        <v>authentication attacks</v>
      </c>
      <c r="V6" t="s">
        <v>18</v>
      </c>
      <c r="W6" t="str">
        <f>LOWER(V6:V10)</f>
        <v>availability</v>
      </c>
      <c r="X6" s="111" t="s">
        <v>19</v>
      </c>
      <c r="Y6" t="str">
        <f>LOWER(X6)</f>
        <v>the entire enterprise</v>
      </c>
      <c r="Z6" t="str">
        <f>LOWER(C20)</f>
        <v/>
      </c>
    </row>
    <row r="7" spans="1:26" ht="3" customHeight="1" x14ac:dyDescent="0.3">
      <c r="B7" s="49"/>
      <c r="C7" s="25"/>
      <c r="R7" s="111" t="s">
        <v>20</v>
      </c>
      <c r="S7" t="str">
        <f t="shared" ref="S7:S33" si="0">LOWER(R7)</f>
        <v>customer </v>
      </c>
      <c r="T7" s="111" t="s">
        <v>21</v>
      </c>
      <c r="U7" t="str">
        <f t="shared" ref="U7:U14" si="1">LOWER(T6:T26)</f>
        <v>authorisation attacks</v>
      </c>
      <c r="V7" t="s">
        <v>22</v>
      </c>
      <c r="W7" t="str">
        <f>LOWER(V7:V10)</f>
        <v>confidentiality</v>
      </c>
      <c r="X7" s="111" t="s">
        <v>23</v>
      </c>
      <c r="Y7" t="str">
        <f t="shared" ref="Y7:Y17" si="2">LOWER(X7)</f>
        <v>a group headquarters</v>
      </c>
    </row>
    <row r="8" spans="1:26" ht="15.75" customHeight="1" x14ac:dyDescent="0.25">
      <c r="B8" s="168" t="s">
        <v>24</v>
      </c>
      <c r="C8" s="168" t="s">
        <v>25</v>
      </c>
      <c r="R8" s="111" t="s">
        <v>26</v>
      </c>
      <c r="S8" t="str">
        <f t="shared" si="0"/>
        <v>employee (general)</v>
      </c>
      <c r="T8" s="111" t="s">
        <v>27</v>
      </c>
      <c r="U8" t="str">
        <f t="shared" si="1"/>
        <v>communications attacks</v>
      </c>
      <c r="V8" t="s">
        <v>28</v>
      </c>
      <c r="W8" t="str">
        <f>LOWER(V8:V13)</f>
        <v>confidentiality &amp; integrity</v>
      </c>
      <c r="X8" s="111" t="s">
        <v>29</v>
      </c>
      <c r="Y8" t="str">
        <f t="shared" si="2"/>
        <v>a business unit</v>
      </c>
    </row>
    <row r="9" spans="1:26" ht="15" customHeight="1" x14ac:dyDescent="0.25">
      <c r="B9" s="50" t="s">
        <v>30</v>
      </c>
      <c r="C9" s="29"/>
      <c r="R9" s="111" t="s">
        <v>31</v>
      </c>
      <c r="S9" t="str">
        <f t="shared" si="0"/>
        <v>employee (privileged)</v>
      </c>
      <c r="T9" s="111" t="s">
        <v>32</v>
      </c>
      <c r="U9" t="str">
        <f t="shared" si="1"/>
        <v>denial of service</v>
      </c>
      <c r="V9" t="s">
        <v>33</v>
      </c>
      <c r="W9" t="str">
        <f>LOWER(V9:V14)</f>
        <v>confidentiality &amp; availability</v>
      </c>
      <c r="X9" s="111" t="s">
        <v>34</v>
      </c>
      <c r="Y9" t="str">
        <f t="shared" si="2"/>
        <v>an organisational department</v>
      </c>
    </row>
    <row r="10" spans="1:26" ht="15" customHeight="1" x14ac:dyDescent="0.25">
      <c r="B10" s="52" t="s">
        <v>35</v>
      </c>
      <c r="C10" s="30"/>
      <c r="R10" s="111" t="s">
        <v>36</v>
      </c>
      <c r="S10" t="str">
        <f t="shared" si="0"/>
        <v>hacking group</v>
      </c>
      <c r="T10" s="111" t="s">
        <v>37</v>
      </c>
      <c r="U10" t="str">
        <f t="shared" si="1"/>
        <v>information leakage</v>
      </c>
      <c r="V10" t="s">
        <v>38</v>
      </c>
      <c r="W10" t="str">
        <f>LOWER(V10:V15)</f>
        <v>confidentiality, integrity &amp; availability</v>
      </c>
      <c r="X10" s="111" t="s">
        <v>39</v>
      </c>
      <c r="Y10" t="str">
        <f t="shared" si="2"/>
        <v>security management</v>
      </c>
    </row>
    <row r="11" spans="1:26" ht="15" customHeight="1" x14ac:dyDescent="0.25">
      <c r="B11" s="50" t="s">
        <v>40</v>
      </c>
      <c r="C11" s="29"/>
      <c r="R11" s="111" t="s">
        <v>41</v>
      </c>
      <c r="S11" t="str">
        <f t="shared" si="0"/>
        <v>individual hacker</v>
      </c>
      <c r="T11" s="111" t="s">
        <v>42</v>
      </c>
      <c r="U11" t="str">
        <f t="shared" si="1"/>
        <v>malware</v>
      </c>
      <c r="V11" t="s">
        <v>43</v>
      </c>
      <c r="W11" t="str">
        <f>LOWER(V10:V15)</f>
        <v>integrity</v>
      </c>
      <c r="X11" s="111" t="s">
        <v>44</v>
      </c>
      <c r="Y11" t="str">
        <f t="shared" si="2"/>
        <v>a critical business application</v>
      </c>
    </row>
    <row r="12" spans="1:26" ht="15" customHeight="1" x14ac:dyDescent="0.25">
      <c r="B12" s="52" t="s">
        <v>45</v>
      </c>
      <c r="C12" s="31"/>
      <c r="R12" s="111" t="s">
        <v>46</v>
      </c>
      <c r="S12" t="str">
        <f t="shared" si="0"/>
        <v>investigative journalist</v>
      </c>
      <c r="T12" s="111" t="s">
        <v>47</v>
      </c>
      <c r="U12" t="str">
        <f t="shared" si="1"/>
        <v>misconfiguration</v>
      </c>
      <c r="V12" t="s">
        <v>48</v>
      </c>
      <c r="W12" t="str">
        <f>LOWER(V11:V15)</f>
        <v>integrity &amp; availability</v>
      </c>
      <c r="X12" s="111" t="s">
        <v>49</v>
      </c>
      <c r="Y12" t="str">
        <f t="shared" si="2"/>
        <v>a computer installation</v>
      </c>
    </row>
    <row r="13" spans="1:26" ht="15" customHeight="1" x14ac:dyDescent="0.25">
      <c r="R13" s="111" t="s">
        <v>50</v>
      </c>
      <c r="S13" t="str">
        <f t="shared" si="0"/>
        <v>nation state</v>
      </c>
      <c r="T13" s="111" t="s">
        <v>51</v>
      </c>
      <c r="U13" t="str">
        <f t="shared" si="1"/>
        <v>misuse</v>
      </c>
      <c r="W13" t="str">
        <f>LOWER(V13:V23)</f>
        <v/>
      </c>
      <c r="X13" s="111" t="s">
        <v>52</v>
      </c>
      <c r="Y13" t="str">
        <f t="shared" si="2"/>
        <v>a network</v>
      </c>
    </row>
    <row r="14" spans="1:26" ht="24.95" customHeight="1" x14ac:dyDescent="0.3">
      <c r="B14" s="48" t="s">
        <v>53</v>
      </c>
      <c r="R14" s="111" t="s">
        <v>54</v>
      </c>
      <c r="S14" t="str">
        <f t="shared" si="0"/>
        <v>organised criminal group</v>
      </c>
      <c r="T14" s="111" t="s">
        <v>55</v>
      </c>
      <c r="U14" t="str">
        <f t="shared" si="1"/>
        <v>physical</v>
      </c>
      <c r="W14" t="str">
        <f t="shared" ref="W14:W55" si="3">LOWER(V14:V19)</f>
        <v/>
      </c>
      <c r="X14" s="111" t="s">
        <v>56</v>
      </c>
      <c r="Y14" t="str">
        <f t="shared" si="2"/>
        <v>system under development</v>
      </c>
    </row>
    <row r="15" spans="1:26" ht="3" customHeight="1" x14ac:dyDescent="0.3">
      <c r="B15" s="49"/>
      <c r="C15" s="25"/>
      <c r="R15" s="111" t="s">
        <v>57</v>
      </c>
      <c r="S15" t="str">
        <f t="shared" si="0"/>
        <v>supplier/vendor/partner (external)</v>
      </c>
      <c r="T15" s="111" t="s">
        <v>58</v>
      </c>
      <c r="U15" t="str">
        <f>LOWER(T13:T36)</f>
        <v>reconnaissance/information gathering</v>
      </c>
      <c r="W15" t="str">
        <f t="shared" si="3"/>
        <v/>
      </c>
      <c r="X15" s="111" t="s">
        <v>59</v>
      </c>
      <c r="Y15" t="str">
        <f t="shared" si="2"/>
        <v>an end user environment</v>
      </c>
    </row>
    <row r="16" spans="1:26" x14ac:dyDescent="0.25">
      <c r="B16" s="168" t="s">
        <v>60</v>
      </c>
      <c r="C16" s="168" t="s">
        <v>25</v>
      </c>
      <c r="R16" s="111" t="s">
        <v>61</v>
      </c>
      <c r="S16" t="str">
        <f t="shared" si="0"/>
        <v>supplier/vendor/partner (internal)</v>
      </c>
      <c r="T16" s="111" t="s">
        <v>62</v>
      </c>
      <c r="U16" t="str">
        <f>LOWER(T13:T37)</f>
        <v>social engineering</v>
      </c>
      <c r="X16" s="111" t="s">
        <v>63</v>
      </c>
      <c r="Y16" t="str">
        <f t="shared" si="2"/>
        <v>a service provider</v>
      </c>
    </row>
    <row r="17" spans="2:25" ht="15" customHeight="1" x14ac:dyDescent="0.25">
      <c r="B17" s="50" t="s">
        <v>8</v>
      </c>
      <c r="C17" s="29" t="s">
        <v>607</v>
      </c>
      <c r="R17" s="111" t="s">
        <v>65</v>
      </c>
      <c r="S17" t="str">
        <f t="shared" si="0"/>
        <v>terrorist group</v>
      </c>
      <c r="T17" s="111" t="s">
        <v>66</v>
      </c>
      <c r="U17" t="str">
        <f>LOWER(T14:T38)</f>
        <v>software exploitation</v>
      </c>
      <c r="X17" s="111" t="s">
        <v>67</v>
      </c>
      <c r="Y17" t="str">
        <f t="shared" si="2"/>
        <v>other</v>
      </c>
    </row>
    <row r="18" spans="2:25" ht="15" customHeight="1" x14ac:dyDescent="0.25">
      <c r="B18" s="52" t="s">
        <v>9</v>
      </c>
      <c r="C18" s="30" t="s">
        <v>607</v>
      </c>
      <c r="R18" s="111" t="s">
        <v>601</v>
      </c>
      <c r="S18" t="str">
        <f t="shared" si="0"/>
        <v>customer</v>
      </c>
      <c r="T18" s="111" t="s">
        <v>69</v>
      </c>
      <c r="U18" t="str">
        <f>LOWER(T14:T39)</f>
        <v>behavioural</v>
      </c>
    </row>
    <row r="19" spans="2:25" ht="15" customHeight="1" x14ac:dyDescent="0.25">
      <c r="B19" s="50" t="s">
        <v>11</v>
      </c>
      <c r="C19" s="29" t="s">
        <v>607</v>
      </c>
      <c r="R19" s="111" t="s">
        <v>26</v>
      </c>
      <c r="S19" t="str">
        <f t="shared" si="0"/>
        <v>employee (general)</v>
      </c>
      <c r="T19" s="111" t="s">
        <v>70</v>
      </c>
      <c r="U19" t="str">
        <f>LOWER(T14:T40)</f>
        <v>process failure</v>
      </c>
      <c r="W19" t="str">
        <f t="shared" si="3"/>
        <v/>
      </c>
    </row>
    <row r="20" spans="2:25" ht="15" customHeight="1" x14ac:dyDescent="0.25">
      <c r="B20" s="52" t="s">
        <v>71</v>
      </c>
      <c r="C20" s="31"/>
      <c r="R20" s="111" t="s">
        <v>31</v>
      </c>
      <c r="S20" t="str">
        <f t="shared" si="0"/>
        <v>employee (privileged)</v>
      </c>
      <c r="T20" s="111" t="s">
        <v>72</v>
      </c>
      <c r="U20" t="str">
        <f>LOWER(T14:T41)</f>
        <v>technology failure</v>
      </c>
      <c r="W20" t="str">
        <f t="shared" si="3"/>
        <v/>
      </c>
    </row>
    <row r="21" spans="2:25" ht="15" customHeight="1" x14ac:dyDescent="0.25">
      <c r="B21" s="50" t="s">
        <v>73</v>
      </c>
      <c r="C21" s="29" t="s">
        <v>607</v>
      </c>
      <c r="R21" s="111" t="s">
        <v>57</v>
      </c>
      <c r="S21" t="str">
        <f t="shared" si="0"/>
        <v>supplier/vendor/partner (external)</v>
      </c>
      <c r="T21" s="111" t="s">
        <v>74</v>
      </c>
      <c r="U21" t="str">
        <f>LOWER(T15:T42)</f>
        <v>biological event</v>
      </c>
      <c r="W21" t="str">
        <f t="shared" si="3"/>
        <v/>
      </c>
    </row>
    <row r="22" spans="2:25" ht="15" customHeight="1" x14ac:dyDescent="0.25">
      <c r="B22" s="52" t="s">
        <v>75</v>
      </c>
      <c r="C22" s="31"/>
      <c r="R22" s="111" t="s">
        <v>61</v>
      </c>
      <c r="S22" t="str">
        <f t="shared" si="0"/>
        <v>supplier/vendor/partner (internal)</v>
      </c>
      <c r="T22" s="111" t="s">
        <v>76</v>
      </c>
      <c r="U22" t="str">
        <f>LOWER(T16:T43)</f>
        <v>meteorological event</v>
      </c>
      <c r="W22" t="str">
        <f t="shared" si="3"/>
        <v/>
      </c>
    </row>
    <row r="23" spans="2:25" ht="15" customHeight="1" x14ac:dyDescent="0.25">
      <c r="B23" s="50" t="s">
        <v>77</v>
      </c>
      <c r="C23" s="32"/>
      <c r="R23" s="111" t="s">
        <v>78</v>
      </c>
      <c r="S23" t="str">
        <f t="shared" si="0"/>
        <v>damage to or loss of external communications</v>
      </c>
      <c r="T23" s="111" t="s">
        <v>79</v>
      </c>
      <c r="U23" t="str">
        <f>LOWER(T16:T44)</f>
        <v>geological event</v>
      </c>
      <c r="W23" t="str">
        <f t="shared" si="3"/>
        <v/>
      </c>
    </row>
    <row r="24" spans="2:25" ht="15" customHeight="1" x14ac:dyDescent="0.25">
      <c r="R24" s="111" t="s">
        <v>80</v>
      </c>
      <c r="S24" t="str">
        <f t="shared" si="0"/>
        <v>earthquake</v>
      </c>
      <c r="T24" s="111" t="s">
        <v>81</v>
      </c>
      <c r="U24" t="str">
        <f>LOWER(T16:T45)</f>
        <v>hydrological event</v>
      </c>
      <c r="W24" t="str">
        <f t="shared" si="3"/>
        <v/>
      </c>
    </row>
    <row r="25" spans="2:25" ht="17.25" x14ac:dyDescent="0.3">
      <c r="B25" s="48" t="s">
        <v>82</v>
      </c>
      <c r="C25" s="169"/>
      <c r="D25" s="169"/>
      <c r="R25" s="111" t="s">
        <v>83</v>
      </c>
      <c r="S25" t="str">
        <f t="shared" si="0"/>
        <v>failure of environmental control systems</v>
      </c>
      <c r="T25" s="111" t="s">
        <v>68</v>
      </c>
      <c r="U25" t="str">
        <f>LOWER(T17:T46)</f>
        <v>natural hazard</v>
      </c>
      <c r="W25" t="str">
        <f t="shared" si="3"/>
        <v/>
      </c>
    </row>
    <row r="26" spans="2:25" ht="3" customHeight="1" x14ac:dyDescent="0.3">
      <c r="B26" s="49"/>
      <c r="C26" s="54"/>
      <c r="D26" s="54"/>
      <c r="R26" s="111" t="s">
        <v>84</v>
      </c>
      <c r="S26" t="str">
        <f t="shared" si="0"/>
        <v>fire (structural)</v>
      </c>
      <c r="T26" s="111" t="s">
        <v>85</v>
      </c>
      <c r="U26" t="str">
        <f>LOWER(T17:T47)</f>
        <v>infrastructure failure</v>
      </c>
      <c r="W26" t="str">
        <f t="shared" si="3"/>
        <v/>
      </c>
    </row>
    <row r="27" spans="2:25" x14ac:dyDescent="0.25">
      <c r="B27" s="168" t="s">
        <v>86</v>
      </c>
      <c r="C27" s="168" t="s">
        <v>87</v>
      </c>
      <c r="D27" s="168" t="s">
        <v>88</v>
      </c>
      <c r="R27" s="111" t="s">
        <v>89</v>
      </c>
      <c r="S27" t="str">
        <f t="shared" si="0"/>
        <v>fire (wild)</v>
      </c>
      <c r="T27" s="111" t="s">
        <v>81</v>
      </c>
      <c r="U27" t="str">
        <f>LOWER(T17:T48)</f>
        <v>hydrological event</v>
      </c>
      <c r="W27" t="str">
        <f t="shared" si="3"/>
        <v/>
      </c>
    </row>
    <row r="28" spans="2:25" x14ac:dyDescent="0.25">
      <c r="B28" s="50" t="s">
        <v>90</v>
      </c>
      <c r="C28" s="29"/>
      <c r="D28" s="29"/>
      <c r="R28" s="111" t="s">
        <v>91</v>
      </c>
      <c r="S28" t="str">
        <f t="shared" si="0"/>
        <v>flooding (structural)</v>
      </c>
      <c r="U28" t="str">
        <f>LOWER(T18:T49)</f>
        <v/>
      </c>
      <c r="W28" t="str">
        <f t="shared" si="3"/>
        <v/>
      </c>
    </row>
    <row r="29" spans="2:25" x14ac:dyDescent="0.25">
      <c r="B29" s="52" t="s">
        <v>92</v>
      </c>
      <c r="C29" s="30"/>
      <c r="D29" s="30"/>
      <c r="R29" s="111" t="s">
        <v>93</v>
      </c>
      <c r="S29" t="str">
        <f t="shared" si="0"/>
        <v>flooding (wild)</v>
      </c>
      <c r="U29" t="str">
        <f>LOWER(T18:T50)</f>
        <v/>
      </c>
      <c r="W29" t="str">
        <f>LOWER(V29:V36)</f>
        <v/>
      </c>
    </row>
    <row r="30" spans="2:25" x14ac:dyDescent="0.25">
      <c r="B30" s="50" t="s">
        <v>94</v>
      </c>
      <c r="C30" s="29"/>
      <c r="D30" s="29"/>
      <c r="R30" s="111" t="s">
        <v>95</v>
      </c>
      <c r="S30" t="str">
        <f t="shared" si="0"/>
        <v>hardware malfunction or failure</v>
      </c>
      <c r="U30" t="str">
        <f>LOWER(T18:T51)</f>
        <v/>
      </c>
      <c r="W30" t="str">
        <f>LOWER(V30:V37)</f>
        <v/>
      </c>
    </row>
    <row r="31" spans="2:25" x14ac:dyDescent="0.25">
      <c r="B31" s="52" t="s">
        <v>96</v>
      </c>
      <c r="C31" s="30"/>
      <c r="D31" s="30"/>
      <c r="R31" s="111" t="s">
        <v>64</v>
      </c>
      <c r="S31" t="str">
        <f t="shared" si="0"/>
        <v>hurricane</v>
      </c>
      <c r="U31" t="str">
        <f>LOWER(T18:T52)</f>
        <v/>
      </c>
      <c r="W31" t="str">
        <f>LOWER(V31:V38)</f>
        <v/>
      </c>
    </row>
    <row r="32" spans="2:25" x14ac:dyDescent="0.25">
      <c r="B32" s="50" t="s">
        <v>97</v>
      </c>
      <c r="C32" s="29"/>
      <c r="D32" s="29"/>
      <c r="R32" s="111" t="s">
        <v>98</v>
      </c>
      <c r="S32" t="str">
        <f t="shared" si="0"/>
        <v>pathogen (e.g., disease outbreak)</v>
      </c>
      <c r="U32" t="str">
        <f>LOWER(T18:T53)</f>
        <v/>
      </c>
      <c r="W32" t="str">
        <f>LOWER(V32:V39)</f>
        <v/>
      </c>
    </row>
    <row r="33" spans="2:23" x14ac:dyDescent="0.25">
      <c r="B33" s="52" t="s">
        <v>99</v>
      </c>
      <c r="C33" s="30"/>
      <c r="D33" s="30"/>
      <c r="R33" s="111" t="s">
        <v>100</v>
      </c>
      <c r="S33" t="str">
        <f t="shared" si="0"/>
        <v>power failure or fluctuation</v>
      </c>
      <c r="U33" t="str">
        <f>LOWER(T18:T54)</f>
        <v/>
      </c>
      <c r="W33" t="str">
        <f>LOWER(V33:V40)</f>
        <v/>
      </c>
    </row>
    <row r="34" spans="2:23" x14ac:dyDescent="0.25">
      <c r="B34" s="50" t="s">
        <v>101</v>
      </c>
      <c r="C34" s="29"/>
      <c r="D34" s="29"/>
      <c r="R34" s="111" t="s">
        <v>102</v>
      </c>
      <c r="S34" t="str">
        <f t="shared" ref="S34:S53" si="4">LOWER(R34)</f>
        <v>storm (e.g., hail, thunder, blizzard)</v>
      </c>
    </row>
    <row r="35" spans="2:23" x14ac:dyDescent="0.25">
      <c r="B35" s="52" t="s">
        <v>103</v>
      </c>
      <c r="C35" s="30"/>
      <c r="D35" s="30"/>
      <c r="R35" s="111" t="s">
        <v>104</v>
      </c>
      <c r="S35" t="str">
        <f t="shared" si="4"/>
        <v>tornado</v>
      </c>
    </row>
    <row r="36" spans="2:23" x14ac:dyDescent="0.25">
      <c r="B36" s="50" t="s">
        <v>105</v>
      </c>
      <c r="C36" s="29"/>
      <c r="D36" s="29"/>
      <c r="R36" s="111" t="s">
        <v>106</v>
      </c>
      <c r="S36" t="str">
        <f t="shared" si="4"/>
        <v>tsunami</v>
      </c>
      <c r="U36" t="str">
        <f>LOWER(T19:T55)</f>
        <v/>
      </c>
      <c r="W36" t="str">
        <f t="shared" si="3"/>
        <v/>
      </c>
    </row>
    <row r="37" spans="2:23" x14ac:dyDescent="0.25">
      <c r="R37" s="111" t="s">
        <v>107</v>
      </c>
      <c r="S37" t="str">
        <f t="shared" si="4"/>
        <v>volcanic eruption</v>
      </c>
      <c r="U37" t="str">
        <f>LOWER(T19:T56)</f>
        <v/>
      </c>
      <c r="W37" t="str">
        <f t="shared" si="3"/>
        <v/>
      </c>
    </row>
    <row r="38" spans="2:23" x14ac:dyDescent="0.25">
      <c r="S38" t="str">
        <f t="shared" si="4"/>
        <v/>
      </c>
      <c r="U38" t="str">
        <f>LOWER(T19:T57)</f>
        <v/>
      </c>
      <c r="W38" t="str">
        <f t="shared" si="3"/>
        <v/>
      </c>
    </row>
    <row r="39" spans="2:23" x14ac:dyDescent="0.25">
      <c r="S39" t="str">
        <f t="shared" si="4"/>
        <v/>
      </c>
      <c r="U39" t="str">
        <f>LOWER(T19:T58)</f>
        <v/>
      </c>
      <c r="W39" t="str">
        <f t="shared" si="3"/>
        <v/>
      </c>
    </row>
    <row r="40" spans="2:23" x14ac:dyDescent="0.25">
      <c r="S40" t="str">
        <f t="shared" si="4"/>
        <v/>
      </c>
      <c r="U40" t="str">
        <f>LOWER(T20:T59)</f>
        <v/>
      </c>
      <c r="W40" t="str">
        <f t="shared" si="3"/>
        <v/>
      </c>
    </row>
    <row r="41" spans="2:23" x14ac:dyDescent="0.25">
      <c r="S41" t="str">
        <f t="shared" si="4"/>
        <v/>
      </c>
      <c r="U41" t="str">
        <f>LOWER(T20:T60)</f>
        <v/>
      </c>
      <c r="W41" t="str">
        <f t="shared" si="3"/>
        <v/>
      </c>
    </row>
    <row r="42" spans="2:23" x14ac:dyDescent="0.25">
      <c r="S42" t="str">
        <f t="shared" si="4"/>
        <v/>
      </c>
      <c r="U42" t="str">
        <f>LOWER(T20:T61)</f>
        <v/>
      </c>
      <c r="W42" t="str">
        <f t="shared" si="3"/>
        <v/>
      </c>
    </row>
    <row r="43" spans="2:23" x14ac:dyDescent="0.25">
      <c r="S43" t="str">
        <f t="shared" si="4"/>
        <v/>
      </c>
      <c r="U43" t="str">
        <f>LOWER(T21:T62)</f>
        <v/>
      </c>
      <c r="W43" t="str">
        <f t="shared" si="3"/>
        <v/>
      </c>
    </row>
    <row r="44" spans="2:23" x14ac:dyDescent="0.25">
      <c r="S44" t="str">
        <f t="shared" si="4"/>
        <v/>
      </c>
      <c r="U44" t="str">
        <f>LOWER(T22:T63)</f>
        <v/>
      </c>
      <c r="W44" t="str">
        <f t="shared" si="3"/>
        <v/>
      </c>
    </row>
    <row r="45" spans="2:23" x14ac:dyDescent="0.25">
      <c r="S45" t="str">
        <f t="shared" si="4"/>
        <v/>
      </c>
      <c r="U45" t="str">
        <f>LOWER(T22:T64)</f>
        <v/>
      </c>
      <c r="W45" t="str">
        <f t="shared" si="3"/>
        <v/>
      </c>
    </row>
    <row r="46" spans="2:23" x14ac:dyDescent="0.25">
      <c r="S46" t="str">
        <f t="shared" si="4"/>
        <v/>
      </c>
      <c r="U46" t="str">
        <f>LOWER(T22:T65)</f>
        <v/>
      </c>
      <c r="W46" t="str">
        <f t="shared" si="3"/>
        <v/>
      </c>
    </row>
    <row r="47" spans="2:23" x14ac:dyDescent="0.25">
      <c r="S47" t="str">
        <f t="shared" si="4"/>
        <v/>
      </c>
      <c r="U47" t="str">
        <f>LOWER(T23:T66)</f>
        <v/>
      </c>
      <c r="W47" t="str">
        <f t="shared" si="3"/>
        <v/>
      </c>
    </row>
    <row r="48" spans="2:23" x14ac:dyDescent="0.25">
      <c r="S48" t="str">
        <f t="shared" si="4"/>
        <v/>
      </c>
      <c r="U48" t="str">
        <f>LOWER(T23:T67)</f>
        <v/>
      </c>
      <c r="W48" t="str">
        <f t="shared" si="3"/>
        <v/>
      </c>
    </row>
    <row r="49" spans="19:23" x14ac:dyDescent="0.25">
      <c r="S49" t="str">
        <f t="shared" si="4"/>
        <v/>
      </c>
      <c r="U49" t="str">
        <f>LOWER(T24:T68)</f>
        <v/>
      </c>
      <c r="W49" t="str">
        <f t="shared" si="3"/>
        <v/>
      </c>
    </row>
    <row r="50" spans="19:23" x14ac:dyDescent="0.25">
      <c r="S50" t="str">
        <f t="shared" si="4"/>
        <v/>
      </c>
      <c r="U50" t="str">
        <f>LOWER(T24:T69)</f>
        <v/>
      </c>
      <c r="W50" t="str">
        <f t="shared" si="3"/>
        <v/>
      </c>
    </row>
    <row r="51" spans="19:23" x14ac:dyDescent="0.25">
      <c r="S51" t="str">
        <f t="shared" si="4"/>
        <v/>
      </c>
      <c r="U51" t="str">
        <f>LOWER(T25:T70)</f>
        <v/>
      </c>
      <c r="W51" t="str">
        <f t="shared" si="3"/>
        <v/>
      </c>
    </row>
    <row r="52" spans="19:23" x14ac:dyDescent="0.25">
      <c r="S52" t="str">
        <f t="shared" si="4"/>
        <v/>
      </c>
      <c r="U52" t="str">
        <f>LOWER(T26:T71)</f>
        <v/>
      </c>
      <c r="W52" t="str">
        <f t="shared" si="3"/>
        <v/>
      </c>
    </row>
    <row r="53" spans="19:23" x14ac:dyDescent="0.25">
      <c r="S53" t="str">
        <f t="shared" si="4"/>
        <v/>
      </c>
      <c r="U53" t="str">
        <f>LOWER(T26:T72)</f>
        <v/>
      </c>
      <c r="W53" t="str">
        <f t="shared" si="3"/>
        <v/>
      </c>
    </row>
    <row r="54" spans="19:23" x14ac:dyDescent="0.25">
      <c r="U54" t="str">
        <f>LOWER(T26:T73)</f>
        <v/>
      </c>
      <c r="W54" t="str">
        <f t="shared" si="3"/>
        <v/>
      </c>
    </row>
    <row r="55" spans="19:23" x14ac:dyDescent="0.25">
      <c r="U55" t="str">
        <f>LOWER(T26:T74)</f>
        <v/>
      </c>
      <c r="W55" t="str">
        <f t="shared" si="3"/>
        <v/>
      </c>
    </row>
  </sheetData>
  <sheetProtection sheet="1" objects="1" scenarios="1" selectLockedCells="1"/>
  <mergeCells count="1">
    <mergeCell ref="B5:F5"/>
  </mergeCells>
  <conditionalFormatting sqref="C17 C19 C21">
    <cfRule type="containsText" dxfId="42" priority="2" operator="containsText" text="Please select">
      <formula>NOT(ISERROR(SEARCH("Please select",C17)))</formula>
    </cfRule>
  </conditionalFormatting>
  <conditionalFormatting sqref="C18">
    <cfRule type="containsText" dxfId="41" priority="1" operator="containsText" text="Please select">
      <formula>NOT(ISERROR(SEARCH("Please select",C18)))</formula>
    </cfRule>
  </conditionalFormatting>
  <dataValidations count="5">
    <dataValidation type="list" allowBlank="1" showInputMessage="1" showErrorMessage="1" sqref="C19" xr:uid="{0A73B710-0997-4638-AC5B-65B4E0EF1920}">
      <formula1>$X$5:$X$17</formula1>
    </dataValidation>
    <dataValidation type="date" allowBlank="1" showInputMessage="1" showErrorMessage="1" sqref="C12 C22" xr:uid="{5D1E9D0E-2590-4E3A-822D-172198CD1E9E}">
      <formula1>1</formula1>
      <formula2>401769</formula2>
    </dataValidation>
    <dataValidation type="list" allowBlank="1" showInputMessage="1" showErrorMessage="1" sqref="C18" xr:uid="{34587B2B-0821-4A93-9F27-A4BD0DDFB329}">
      <formula1>$T$5:$T$27</formula1>
    </dataValidation>
    <dataValidation type="list" allowBlank="1" showInputMessage="1" showErrorMessage="1" sqref="C21" xr:uid="{F831EFAF-0516-4C0B-8FE2-2197ABFCEFBD}">
      <formula1>$V$5:$V$12</formula1>
    </dataValidation>
    <dataValidation type="list" allowBlank="1" showInputMessage="1" showErrorMessage="1" sqref="C17" xr:uid="{DCA2D4B0-E180-438B-B67A-EE4885D8F6A8}">
      <formula1>$R$5:$R$37</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30F85-A04B-402C-99D1-B39D715FF599}">
  <sheetPr codeName="Sheet13"/>
  <dimension ref="A1:L112"/>
  <sheetViews>
    <sheetView showGridLines="0" showRowColHeaders="0" zoomScale="140" zoomScaleNormal="140" workbookViewId="0">
      <selection activeCell="D53" sqref="D53"/>
    </sheetView>
  </sheetViews>
  <sheetFormatPr defaultColWidth="9.140625" defaultRowHeight="15" x14ac:dyDescent="0.25"/>
  <cols>
    <col min="1" max="1" width="25.7109375" customWidth="1"/>
    <col min="2" max="2" width="7.42578125" customWidth="1"/>
    <col min="3" max="6" width="55.7109375" customWidth="1"/>
    <col min="7" max="7" width="0.42578125" customWidth="1"/>
    <col min="8" max="9" width="41.140625" customWidth="1"/>
    <col min="11" max="11" width="9" customWidth="1"/>
    <col min="12" max="12" width="0.85546875" hidden="1" customWidth="1"/>
  </cols>
  <sheetData>
    <row r="1" spans="1:12" ht="2.25" customHeight="1" x14ac:dyDescent="0.25"/>
    <row r="2" spans="1:12" ht="65.099999999999994" customHeight="1" x14ac:dyDescent="0.25">
      <c r="A2" s="46"/>
      <c r="B2" s="143" t="s">
        <v>108</v>
      </c>
      <c r="L2" s="5" t="s">
        <v>109</v>
      </c>
    </row>
    <row r="3" spans="1:12" ht="3" customHeight="1" x14ac:dyDescent="0.25">
      <c r="L3" t="s">
        <v>110</v>
      </c>
    </row>
    <row r="4" spans="1:12" ht="5.0999999999999996" customHeight="1" x14ac:dyDescent="0.25">
      <c r="A4" s="25"/>
      <c r="B4" s="47"/>
      <c r="C4" s="47"/>
      <c r="D4" s="47"/>
      <c r="E4" s="47"/>
      <c r="F4" s="47"/>
      <c r="L4" t="s">
        <v>111</v>
      </c>
    </row>
    <row r="5" spans="1:12" ht="30" customHeight="1" x14ac:dyDescent="0.25">
      <c r="B5" s="259" t="s">
        <v>112</v>
      </c>
      <c r="C5" s="259"/>
      <c r="D5" s="259"/>
      <c r="E5" s="259"/>
      <c r="F5" s="259"/>
      <c r="L5" t="s">
        <v>113</v>
      </c>
    </row>
    <row r="6" spans="1:12" ht="24.95" customHeight="1" x14ac:dyDescent="0.3">
      <c r="B6" s="48" t="s">
        <v>114</v>
      </c>
      <c r="C6" s="55"/>
    </row>
    <row r="7" spans="1:12" ht="3" customHeight="1" x14ac:dyDescent="0.25">
      <c r="B7" s="56"/>
      <c r="C7" s="57"/>
      <c r="D7" s="25"/>
      <c r="E7" s="25"/>
      <c r="F7" s="25"/>
    </row>
    <row r="8" spans="1:12" ht="15" customHeight="1" x14ac:dyDescent="0.25">
      <c r="B8" s="168" t="s">
        <v>115</v>
      </c>
      <c r="C8" s="168" t="s">
        <v>116</v>
      </c>
      <c r="D8" s="168" t="s">
        <v>117</v>
      </c>
      <c r="E8" s="168" t="s">
        <v>25</v>
      </c>
      <c r="F8" s="168" t="s">
        <v>118</v>
      </c>
    </row>
    <row r="9" spans="1:12" ht="60" x14ac:dyDescent="0.25">
      <c r="B9" s="50">
        <v>1</v>
      </c>
      <c r="C9" s="58" t="str">
        <f>IFERROR("Does your organisation collect, collate and analyse incident logs for historic "&amp;VLOOKUP(Scope!C18,Scope!T:U,2,FALSE)&amp;" incidents to produce information such as trend analysis?","Please go back and complete the 'Scope' tab to enable this question to appear")</f>
        <v>Please go back and complete the 'Scope' tab to enable this question to appear</v>
      </c>
      <c r="D9" s="51" t="s">
        <v>119</v>
      </c>
      <c r="E9" s="29"/>
      <c r="F9" s="29"/>
    </row>
    <row r="10" spans="1:12" ht="90" x14ac:dyDescent="0.25">
      <c r="B10" s="52">
        <v>2</v>
      </c>
      <c r="C10" s="59" t="str">
        <f>IFERROR("Does the organisation have access to external sources of information (e.g. by subscription or participation in information sharing groups) to help identify historic "&amp;VLOOKUP(Scope!C18,Scope!T:U,2,FALSE)&amp;" incidents and the financial costs associated with those incidents?","Please go back and complete the 'Scope' tab to enable this question to appear")</f>
        <v>Please go back and complete the 'Scope' tab to enable this question to appear</v>
      </c>
      <c r="D10" s="53" t="s">
        <v>120</v>
      </c>
      <c r="E10" s="30"/>
      <c r="F10" s="30"/>
    </row>
    <row r="11" spans="1:12" ht="45.75" customHeight="1" x14ac:dyDescent="0.25">
      <c r="B11" s="69">
        <v>3</v>
      </c>
      <c r="C11" s="71" t="str">
        <f>IFERROR("Are there any other sources of information that the organisation uses in forecasting "&amp;VLOOKUP(Scope!C18,Scope!T:U,2,FALSE)&amp;" and the financial costs associated with those incidents?","Please go back and complete the 'Scope' tab to enable this question to appear")</f>
        <v>Please go back and complete the 'Scope' tab to enable this question to appear</v>
      </c>
      <c r="D11" s="72" t="s">
        <v>121</v>
      </c>
      <c r="E11" s="70"/>
      <c r="F11" s="70"/>
    </row>
    <row r="12" spans="1:12" ht="45.75" customHeight="1" x14ac:dyDescent="0.25">
      <c r="B12" s="52">
        <v>4</v>
      </c>
      <c r="C12" s="59" t="s">
        <v>122</v>
      </c>
      <c r="D12" s="53" t="s">
        <v>123</v>
      </c>
      <c r="E12" s="30"/>
      <c r="F12" s="30"/>
    </row>
    <row r="13" spans="1:12" ht="15" customHeight="1" x14ac:dyDescent="0.25"/>
    <row r="14" spans="1:12" ht="24.95" customHeight="1" x14ac:dyDescent="0.3">
      <c r="B14" s="48" t="s">
        <v>124</v>
      </c>
      <c r="C14" s="55"/>
    </row>
    <row r="15" spans="1:12" ht="3" customHeight="1" x14ac:dyDescent="0.3">
      <c r="B15" s="49"/>
      <c r="C15" s="57"/>
      <c r="D15" s="25"/>
      <c r="E15" s="25"/>
    </row>
    <row r="16" spans="1:12" ht="15" customHeight="1" x14ac:dyDescent="0.25">
      <c r="B16" s="168" t="s">
        <v>115</v>
      </c>
      <c r="C16" s="168" t="s">
        <v>116</v>
      </c>
      <c r="D16" s="168" t="s">
        <v>25</v>
      </c>
      <c r="E16" s="168" t="s">
        <v>118</v>
      </c>
    </row>
    <row r="17" spans="2:5" ht="15" customHeight="1" x14ac:dyDescent="0.25">
      <c r="B17" s="50">
        <v>5</v>
      </c>
      <c r="C17" s="58" t="s">
        <v>125</v>
      </c>
      <c r="D17" s="29"/>
      <c r="E17" s="29"/>
    </row>
    <row r="18" spans="2:5" ht="15" customHeight="1" x14ac:dyDescent="0.25">
      <c r="B18" s="52">
        <v>6</v>
      </c>
      <c r="C18" s="59" t="s">
        <v>126</v>
      </c>
      <c r="D18" s="226"/>
      <c r="E18" s="30"/>
    </row>
    <row r="19" spans="2:5" ht="30" customHeight="1" x14ac:dyDescent="0.25">
      <c r="B19" s="50">
        <v>7</v>
      </c>
      <c r="C19" s="60" t="s">
        <v>127</v>
      </c>
      <c r="D19" s="227"/>
      <c r="E19" s="29"/>
    </row>
    <row r="20" spans="2:5" ht="30" customHeight="1" x14ac:dyDescent="0.25">
      <c r="B20" s="52">
        <v>8</v>
      </c>
      <c r="C20" s="59" t="s">
        <v>128</v>
      </c>
      <c r="D20" s="226"/>
      <c r="E20" s="30"/>
    </row>
    <row r="21" spans="2:5" ht="30" customHeight="1" x14ac:dyDescent="0.25">
      <c r="B21" s="50">
        <v>9</v>
      </c>
      <c r="C21" s="60" t="s">
        <v>129</v>
      </c>
      <c r="D21" s="227"/>
      <c r="E21" s="29"/>
    </row>
    <row r="22" spans="2:5" ht="15" customHeight="1" x14ac:dyDescent="0.25"/>
    <row r="23" spans="2:5" ht="24.95" customHeight="1" x14ac:dyDescent="0.3">
      <c r="B23" s="48" t="s">
        <v>130</v>
      </c>
    </row>
    <row r="24" spans="2:5" ht="3" customHeight="1" x14ac:dyDescent="0.3">
      <c r="B24" s="49"/>
      <c r="C24" s="25"/>
      <c r="D24" s="25"/>
      <c r="E24" s="25"/>
    </row>
    <row r="25" spans="2:5" x14ac:dyDescent="0.25">
      <c r="B25" s="168" t="s">
        <v>115</v>
      </c>
      <c r="C25" s="168" t="s">
        <v>116</v>
      </c>
      <c r="D25" s="168" t="s">
        <v>25</v>
      </c>
      <c r="E25" s="168" t="s">
        <v>118</v>
      </c>
    </row>
    <row r="26" spans="2:5" ht="30" customHeight="1" x14ac:dyDescent="0.25">
      <c r="B26" s="50">
        <v>10</v>
      </c>
      <c r="C26" s="60" t="s">
        <v>131</v>
      </c>
      <c r="D26" s="227"/>
      <c r="E26" s="29"/>
    </row>
    <row r="27" spans="2:5" ht="30" x14ac:dyDescent="0.25">
      <c r="B27" s="52">
        <v>11</v>
      </c>
      <c r="C27" s="59" t="s">
        <v>132</v>
      </c>
      <c r="D27" s="226"/>
      <c r="E27" s="30"/>
    </row>
    <row r="28" spans="2:5" ht="30" x14ac:dyDescent="0.25">
      <c r="B28" s="50">
        <v>12</v>
      </c>
      <c r="C28" s="60" t="s">
        <v>133</v>
      </c>
      <c r="D28" s="227"/>
      <c r="E28" s="29"/>
    </row>
    <row r="29" spans="2:5" ht="30" x14ac:dyDescent="0.25">
      <c r="B29" s="52">
        <v>13</v>
      </c>
      <c r="C29" s="59" t="s">
        <v>134</v>
      </c>
      <c r="D29" s="30"/>
      <c r="E29" s="30"/>
    </row>
    <row r="30" spans="2:5" ht="30" customHeight="1" x14ac:dyDescent="0.25">
      <c r="B30" s="50">
        <v>14</v>
      </c>
      <c r="C30" s="60" t="s">
        <v>135</v>
      </c>
      <c r="D30" s="227"/>
      <c r="E30" s="29"/>
    </row>
    <row r="31" spans="2:5" ht="30" customHeight="1" x14ac:dyDescent="0.25">
      <c r="B31" s="52">
        <v>15</v>
      </c>
      <c r="C31" s="59" t="s">
        <v>136</v>
      </c>
      <c r="D31" s="226"/>
      <c r="E31" s="30"/>
    </row>
    <row r="32" spans="2:5" ht="30" customHeight="1" x14ac:dyDescent="0.25">
      <c r="B32" s="73">
        <v>16</v>
      </c>
      <c r="C32" s="71" t="s">
        <v>137</v>
      </c>
      <c r="D32" s="228"/>
      <c r="E32" s="70"/>
    </row>
    <row r="33" spans="2:6" x14ac:dyDescent="0.25">
      <c r="B33" s="61"/>
      <c r="C33" s="62"/>
      <c r="D33" s="62"/>
      <c r="E33" s="62"/>
      <c r="F33" s="62"/>
    </row>
    <row r="34" spans="2:6" ht="24.95" customHeight="1" x14ac:dyDescent="0.3">
      <c r="B34" s="48" t="s">
        <v>138</v>
      </c>
    </row>
    <row r="35" spans="2:6" ht="15" customHeight="1" x14ac:dyDescent="0.25">
      <c r="B35" s="260" t="s">
        <v>139</v>
      </c>
      <c r="C35" s="260"/>
      <c r="D35" s="260"/>
    </row>
    <row r="36" spans="2:6" ht="3" customHeight="1" x14ac:dyDescent="0.3">
      <c r="B36" s="49"/>
      <c r="C36" s="25"/>
      <c r="D36" s="25"/>
      <c r="E36" s="25"/>
    </row>
    <row r="37" spans="2:6" x14ac:dyDescent="0.25">
      <c r="B37" s="168" t="s">
        <v>115</v>
      </c>
      <c r="C37" s="168" t="s">
        <v>116</v>
      </c>
      <c r="D37" s="168" t="s">
        <v>25</v>
      </c>
      <c r="E37" s="168" t="s">
        <v>118</v>
      </c>
    </row>
    <row r="38" spans="2:6" x14ac:dyDescent="0.25">
      <c r="B38" s="50">
        <v>17</v>
      </c>
      <c r="C38" s="60" t="s">
        <v>140</v>
      </c>
      <c r="D38" s="29" t="s">
        <v>141</v>
      </c>
      <c r="E38" s="29"/>
    </row>
    <row r="39" spans="2:6" ht="30" x14ac:dyDescent="0.25">
      <c r="B39" s="52" t="s">
        <v>142</v>
      </c>
      <c r="C39" s="63" t="s">
        <v>143</v>
      </c>
      <c r="D39" s="226"/>
      <c r="E39" s="30"/>
    </row>
    <row r="40" spans="2:6" ht="30" x14ac:dyDescent="0.25">
      <c r="B40" s="50" t="s">
        <v>144</v>
      </c>
      <c r="C40" s="64" t="s">
        <v>145</v>
      </c>
      <c r="D40" s="227"/>
      <c r="E40" s="29"/>
    </row>
    <row r="41" spans="2:6" ht="30" x14ac:dyDescent="0.25">
      <c r="B41" s="52" t="s">
        <v>146</v>
      </c>
      <c r="C41" s="63" t="s">
        <v>147</v>
      </c>
      <c r="D41" s="226"/>
      <c r="E41" s="30"/>
    </row>
    <row r="42" spans="2:6" x14ac:dyDescent="0.25">
      <c r="B42" s="50" t="s">
        <v>148</v>
      </c>
      <c r="C42" s="64" t="s">
        <v>149</v>
      </c>
      <c r="D42" s="29"/>
      <c r="E42" s="29"/>
    </row>
    <row r="43" spans="2:6" x14ac:dyDescent="0.25">
      <c r="B43" s="52">
        <v>18</v>
      </c>
      <c r="C43" s="59" t="s">
        <v>150</v>
      </c>
      <c r="D43" s="30" t="s">
        <v>141</v>
      </c>
      <c r="E43" s="30"/>
    </row>
    <row r="44" spans="2:6" ht="30" x14ac:dyDescent="0.25">
      <c r="B44" s="50" t="s">
        <v>151</v>
      </c>
      <c r="C44" s="64" t="s">
        <v>143</v>
      </c>
      <c r="D44" s="227"/>
      <c r="E44" s="70"/>
    </row>
    <row r="45" spans="2:6" ht="30" x14ac:dyDescent="0.25">
      <c r="B45" s="52" t="s">
        <v>152</v>
      </c>
      <c r="C45" s="63" t="s">
        <v>145</v>
      </c>
      <c r="D45" s="226"/>
      <c r="E45" s="30"/>
    </row>
    <row r="46" spans="2:6" ht="30" x14ac:dyDescent="0.25">
      <c r="B46" s="50" t="s">
        <v>153</v>
      </c>
      <c r="C46" s="64" t="s">
        <v>147</v>
      </c>
      <c r="D46" s="227"/>
      <c r="E46" s="70"/>
    </row>
    <row r="47" spans="2:6" x14ac:dyDescent="0.25">
      <c r="B47" s="52" t="s">
        <v>154</v>
      </c>
      <c r="C47" s="63" t="s">
        <v>149</v>
      </c>
      <c r="D47" s="30"/>
      <c r="E47" s="30"/>
    </row>
    <row r="48" spans="2:6" x14ac:dyDescent="0.25">
      <c r="B48" s="50">
        <v>19</v>
      </c>
      <c r="C48" s="60" t="s">
        <v>155</v>
      </c>
      <c r="D48" s="29" t="s">
        <v>141</v>
      </c>
      <c r="E48" s="70"/>
    </row>
    <row r="49" spans="2:5" ht="30" x14ac:dyDescent="0.25">
      <c r="B49" s="52" t="s">
        <v>156</v>
      </c>
      <c r="C49" s="63" t="s">
        <v>143</v>
      </c>
      <c r="D49" s="108"/>
      <c r="E49" s="30"/>
    </row>
    <row r="50" spans="2:5" ht="30" x14ac:dyDescent="0.25">
      <c r="B50" s="50" t="s">
        <v>157</v>
      </c>
      <c r="C50" s="64" t="s">
        <v>145</v>
      </c>
      <c r="D50" s="107"/>
      <c r="E50" s="70"/>
    </row>
    <row r="51" spans="2:5" ht="30" x14ac:dyDescent="0.25">
      <c r="B51" s="52" t="s">
        <v>158</v>
      </c>
      <c r="C51" s="63" t="s">
        <v>147</v>
      </c>
      <c r="D51" s="108"/>
      <c r="E51" s="30"/>
    </row>
    <row r="52" spans="2:5" x14ac:dyDescent="0.25">
      <c r="B52" s="50" t="s">
        <v>159</v>
      </c>
      <c r="C52" s="64" t="s">
        <v>149</v>
      </c>
      <c r="D52" s="29"/>
      <c r="E52" s="70"/>
    </row>
    <row r="53" spans="2:5" x14ac:dyDescent="0.25">
      <c r="B53" s="52">
        <v>20</v>
      </c>
      <c r="C53" s="59" t="s">
        <v>160</v>
      </c>
      <c r="D53" s="30" t="s">
        <v>110</v>
      </c>
      <c r="E53" s="30"/>
    </row>
    <row r="54" spans="2:5" ht="30" x14ac:dyDescent="0.25">
      <c r="B54" s="50" t="s">
        <v>161</v>
      </c>
      <c r="C54" s="65" t="s">
        <v>143</v>
      </c>
      <c r="D54" s="107"/>
      <c r="E54" s="70"/>
    </row>
    <row r="55" spans="2:5" ht="30" x14ac:dyDescent="0.25">
      <c r="B55" s="52" t="s">
        <v>162</v>
      </c>
      <c r="C55" s="63" t="s">
        <v>145</v>
      </c>
      <c r="D55" s="108"/>
      <c r="E55" s="30"/>
    </row>
    <row r="56" spans="2:5" ht="30" x14ac:dyDescent="0.25">
      <c r="B56" s="50" t="s">
        <v>163</v>
      </c>
      <c r="C56" s="64" t="s">
        <v>147</v>
      </c>
      <c r="D56" s="107"/>
      <c r="E56" s="70"/>
    </row>
    <row r="57" spans="2:5" x14ac:dyDescent="0.25">
      <c r="B57" s="52" t="s">
        <v>164</v>
      </c>
      <c r="C57" s="63" t="s">
        <v>149</v>
      </c>
      <c r="D57" s="30"/>
      <c r="E57" s="30"/>
    </row>
    <row r="58" spans="2:5" x14ac:dyDescent="0.25">
      <c r="B58" s="50">
        <v>21</v>
      </c>
      <c r="C58" s="60" t="s">
        <v>165</v>
      </c>
      <c r="D58" s="29" t="s">
        <v>141</v>
      </c>
      <c r="E58" s="70"/>
    </row>
    <row r="59" spans="2:5" ht="30" x14ac:dyDescent="0.25">
      <c r="B59" s="52" t="s">
        <v>166</v>
      </c>
      <c r="C59" s="63" t="s">
        <v>143</v>
      </c>
      <c r="D59" s="108"/>
      <c r="E59" s="30"/>
    </row>
    <row r="60" spans="2:5" ht="30" x14ac:dyDescent="0.25">
      <c r="B60" s="50" t="s">
        <v>167</v>
      </c>
      <c r="C60" s="64" t="s">
        <v>145</v>
      </c>
      <c r="D60" s="107"/>
      <c r="E60" s="70"/>
    </row>
    <row r="61" spans="2:5" ht="30" x14ac:dyDescent="0.25">
      <c r="B61" s="52" t="s">
        <v>168</v>
      </c>
      <c r="C61" s="63" t="s">
        <v>147</v>
      </c>
      <c r="D61" s="108"/>
      <c r="E61" s="30"/>
    </row>
    <row r="62" spans="2:5" x14ac:dyDescent="0.25">
      <c r="B62" s="50" t="s">
        <v>169</v>
      </c>
      <c r="C62" s="64" t="s">
        <v>149</v>
      </c>
      <c r="D62" s="29"/>
      <c r="E62" s="70"/>
    </row>
    <row r="63" spans="2:5" ht="30" x14ac:dyDescent="0.25">
      <c r="B63" s="52">
        <v>22</v>
      </c>
      <c r="C63" s="59" t="s">
        <v>170</v>
      </c>
      <c r="D63" s="30" t="s">
        <v>141</v>
      </c>
      <c r="E63" s="30"/>
    </row>
    <row r="64" spans="2:5" ht="30" x14ac:dyDescent="0.25">
      <c r="B64" s="50" t="s">
        <v>171</v>
      </c>
      <c r="C64" s="64" t="s">
        <v>143</v>
      </c>
      <c r="D64" s="107"/>
      <c r="E64" s="70"/>
    </row>
    <row r="65" spans="2:5" ht="30" x14ac:dyDescent="0.25">
      <c r="B65" s="52" t="s">
        <v>172</v>
      </c>
      <c r="C65" s="63" t="s">
        <v>145</v>
      </c>
      <c r="D65" s="108"/>
      <c r="E65" s="30"/>
    </row>
    <row r="66" spans="2:5" ht="30" x14ac:dyDescent="0.25">
      <c r="B66" s="50" t="s">
        <v>173</v>
      </c>
      <c r="C66" s="64" t="s">
        <v>147</v>
      </c>
      <c r="D66" s="107"/>
      <c r="E66" s="70"/>
    </row>
    <row r="67" spans="2:5" x14ac:dyDescent="0.25">
      <c r="B67" s="52" t="s">
        <v>174</v>
      </c>
      <c r="C67" s="63" t="s">
        <v>149</v>
      </c>
      <c r="D67" s="30"/>
      <c r="E67" s="30"/>
    </row>
    <row r="68" spans="2:5" x14ac:dyDescent="0.25">
      <c r="B68" s="50">
        <v>23</v>
      </c>
      <c r="C68" s="60" t="s">
        <v>175</v>
      </c>
      <c r="D68" s="29" t="s">
        <v>141</v>
      </c>
      <c r="E68" s="70"/>
    </row>
    <row r="69" spans="2:5" ht="30" x14ac:dyDescent="0.25">
      <c r="B69" s="52" t="s">
        <v>176</v>
      </c>
      <c r="C69" s="63" t="s">
        <v>143</v>
      </c>
      <c r="D69" s="108"/>
      <c r="E69" s="30"/>
    </row>
    <row r="70" spans="2:5" ht="30" x14ac:dyDescent="0.25">
      <c r="B70" s="50" t="s">
        <v>177</v>
      </c>
      <c r="C70" s="64" t="s">
        <v>145</v>
      </c>
      <c r="D70" s="107"/>
      <c r="E70" s="70"/>
    </row>
    <row r="71" spans="2:5" ht="30" x14ac:dyDescent="0.25">
      <c r="B71" s="52" t="s">
        <v>178</v>
      </c>
      <c r="C71" s="63" t="s">
        <v>147</v>
      </c>
      <c r="D71" s="108"/>
      <c r="E71" s="30"/>
    </row>
    <row r="72" spans="2:5" x14ac:dyDescent="0.25">
      <c r="B72" s="50" t="s">
        <v>179</v>
      </c>
      <c r="C72" s="64" t="s">
        <v>149</v>
      </c>
      <c r="D72" s="29"/>
      <c r="E72" s="70"/>
    </row>
    <row r="73" spans="2:5" ht="30" x14ac:dyDescent="0.25">
      <c r="B73" s="52">
        <v>24</v>
      </c>
      <c r="C73" s="59" t="s">
        <v>180</v>
      </c>
      <c r="D73" s="30" t="s">
        <v>141</v>
      </c>
      <c r="E73" s="30"/>
    </row>
    <row r="74" spans="2:5" ht="30" x14ac:dyDescent="0.25">
      <c r="B74" s="50" t="s">
        <v>181</v>
      </c>
      <c r="C74" s="64" t="s">
        <v>143</v>
      </c>
      <c r="D74" s="107"/>
      <c r="E74" s="70"/>
    </row>
    <row r="75" spans="2:5" ht="30" x14ac:dyDescent="0.25">
      <c r="B75" s="52" t="s">
        <v>182</v>
      </c>
      <c r="C75" s="63" t="s">
        <v>145</v>
      </c>
      <c r="D75" s="108"/>
      <c r="E75" s="30"/>
    </row>
    <row r="76" spans="2:5" ht="30" x14ac:dyDescent="0.25">
      <c r="B76" s="50" t="s">
        <v>183</v>
      </c>
      <c r="C76" s="64" t="s">
        <v>147</v>
      </c>
      <c r="D76" s="107"/>
      <c r="E76" s="70"/>
    </row>
    <row r="77" spans="2:5" x14ac:dyDescent="0.25">
      <c r="B77" s="52" t="s">
        <v>184</v>
      </c>
      <c r="C77" s="63" t="s">
        <v>149</v>
      </c>
      <c r="D77" s="30"/>
      <c r="E77" s="30"/>
    </row>
    <row r="78" spans="2:5" ht="15" customHeight="1" x14ac:dyDescent="0.25">
      <c r="B78" s="50">
        <v>25</v>
      </c>
      <c r="C78" s="60" t="s">
        <v>185</v>
      </c>
      <c r="D78" s="29" t="s">
        <v>141</v>
      </c>
      <c r="E78" s="70"/>
    </row>
    <row r="79" spans="2:5" ht="30" x14ac:dyDescent="0.25">
      <c r="B79" s="52" t="s">
        <v>186</v>
      </c>
      <c r="C79" s="63" t="s">
        <v>143</v>
      </c>
      <c r="D79" s="108"/>
      <c r="E79" s="30"/>
    </row>
    <row r="80" spans="2:5" ht="30" x14ac:dyDescent="0.25">
      <c r="B80" s="50" t="s">
        <v>187</v>
      </c>
      <c r="C80" s="64" t="s">
        <v>145</v>
      </c>
      <c r="D80" s="107"/>
      <c r="E80" s="70"/>
    </row>
    <row r="81" spans="2:5" ht="30" x14ac:dyDescent="0.25">
      <c r="B81" s="52" t="s">
        <v>188</v>
      </c>
      <c r="C81" s="63" t="s">
        <v>147</v>
      </c>
      <c r="D81" s="108"/>
      <c r="E81" s="30"/>
    </row>
    <row r="82" spans="2:5" x14ac:dyDescent="0.25">
      <c r="B82" s="50" t="s">
        <v>189</v>
      </c>
      <c r="C82" s="64" t="s">
        <v>149</v>
      </c>
      <c r="D82" s="29"/>
      <c r="E82" s="70"/>
    </row>
    <row r="83" spans="2:5" ht="30" x14ac:dyDescent="0.25">
      <c r="B83" s="52">
        <v>26</v>
      </c>
      <c r="C83" s="59" t="s">
        <v>190</v>
      </c>
      <c r="D83" s="30" t="s">
        <v>141</v>
      </c>
      <c r="E83" s="30"/>
    </row>
    <row r="84" spans="2:5" ht="30" x14ac:dyDescent="0.25">
      <c r="B84" s="50" t="s">
        <v>191</v>
      </c>
      <c r="C84" s="64" t="s">
        <v>143</v>
      </c>
      <c r="D84" s="107"/>
      <c r="E84" s="70"/>
    </row>
    <row r="85" spans="2:5" ht="30" x14ac:dyDescent="0.25">
      <c r="B85" s="52" t="s">
        <v>192</v>
      </c>
      <c r="C85" s="63" t="s">
        <v>145</v>
      </c>
      <c r="D85" s="108"/>
      <c r="E85" s="30"/>
    </row>
    <row r="86" spans="2:5" ht="30" x14ac:dyDescent="0.25">
      <c r="B86" s="50" t="s">
        <v>193</v>
      </c>
      <c r="C86" s="64" t="s">
        <v>147</v>
      </c>
      <c r="D86" s="107"/>
      <c r="E86" s="70"/>
    </row>
    <row r="87" spans="2:5" x14ac:dyDescent="0.25">
      <c r="B87" s="52" t="s">
        <v>194</v>
      </c>
      <c r="C87" s="63" t="s">
        <v>149</v>
      </c>
      <c r="D87" s="30"/>
      <c r="E87" s="30"/>
    </row>
    <row r="88" spans="2:5" x14ac:dyDescent="0.25">
      <c r="B88" s="50">
        <v>27</v>
      </c>
      <c r="C88" s="60" t="s">
        <v>195</v>
      </c>
      <c r="D88" s="29" t="s">
        <v>141</v>
      </c>
      <c r="E88" s="70"/>
    </row>
    <row r="89" spans="2:5" ht="30" x14ac:dyDescent="0.25">
      <c r="B89" s="52" t="s">
        <v>196</v>
      </c>
      <c r="C89" s="63" t="s">
        <v>143</v>
      </c>
      <c r="D89" s="108"/>
      <c r="E89" s="30"/>
    </row>
    <row r="90" spans="2:5" ht="30" x14ac:dyDescent="0.25">
      <c r="B90" s="50" t="s">
        <v>197</v>
      </c>
      <c r="C90" s="64" t="s">
        <v>145</v>
      </c>
      <c r="D90" s="107"/>
      <c r="E90" s="70"/>
    </row>
    <row r="91" spans="2:5" ht="30" x14ac:dyDescent="0.25">
      <c r="B91" s="52" t="s">
        <v>198</v>
      </c>
      <c r="C91" s="63" t="s">
        <v>147</v>
      </c>
      <c r="D91" s="108"/>
      <c r="E91" s="30"/>
    </row>
    <row r="92" spans="2:5" x14ac:dyDescent="0.25">
      <c r="B92" s="73" t="s">
        <v>199</v>
      </c>
      <c r="C92" s="74" t="s">
        <v>149</v>
      </c>
      <c r="D92" s="75"/>
      <c r="E92" s="70"/>
    </row>
    <row r="94" spans="2:5" ht="24.95" customHeight="1" x14ac:dyDescent="0.3">
      <c r="B94" s="48" t="s">
        <v>200</v>
      </c>
    </row>
    <row r="95" spans="2:5" ht="3" customHeight="1" x14ac:dyDescent="0.3">
      <c r="B95" s="49"/>
      <c r="C95" s="25"/>
      <c r="D95" s="25"/>
      <c r="E95" s="25"/>
    </row>
    <row r="96" spans="2:5" x14ac:dyDescent="0.25">
      <c r="B96" s="168" t="s">
        <v>115</v>
      </c>
      <c r="C96" s="168" t="s">
        <v>116</v>
      </c>
      <c r="D96" s="168" t="s">
        <v>25</v>
      </c>
      <c r="E96" s="168" t="s">
        <v>118</v>
      </c>
    </row>
    <row r="97" spans="2:5" ht="30" x14ac:dyDescent="0.25">
      <c r="B97" s="50">
        <v>28</v>
      </c>
      <c r="C97" s="60" t="s">
        <v>201</v>
      </c>
      <c r="D97" s="29"/>
      <c r="E97" s="29"/>
    </row>
    <row r="98" spans="2:5" ht="30" x14ac:dyDescent="0.25">
      <c r="B98" s="52">
        <v>29</v>
      </c>
      <c r="C98" s="59" t="s">
        <v>202</v>
      </c>
      <c r="D98" s="30"/>
      <c r="E98" s="30"/>
    </row>
    <row r="99" spans="2:5" x14ac:dyDescent="0.25">
      <c r="B99" s="50">
        <v>30</v>
      </c>
      <c r="C99" s="60" t="s">
        <v>203</v>
      </c>
      <c r="D99" s="107"/>
      <c r="E99" s="29"/>
    </row>
    <row r="100" spans="2:5" ht="30" x14ac:dyDescent="0.25">
      <c r="B100" s="52">
        <v>31</v>
      </c>
      <c r="C100" s="59" t="s">
        <v>204</v>
      </c>
      <c r="D100" s="30"/>
      <c r="E100" s="30"/>
    </row>
    <row r="101" spans="2:5" ht="30" x14ac:dyDescent="0.25">
      <c r="B101" s="50">
        <v>32</v>
      </c>
      <c r="C101" s="60" t="s">
        <v>205</v>
      </c>
      <c r="D101" s="29"/>
      <c r="E101" s="29"/>
    </row>
    <row r="102" spans="2:5" ht="30" x14ac:dyDescent="0.25">
      <c r="B102" s="52">
        <v>33</v>
      </c>
      <c r="C102" s="59" t="s">
        <v>206</v>
      </c>
      <c r="D102" s="30"/>
      <c r="E102" s="30"/>
    </row>
    <row r="103" spans="2:5" ht="30" customHeight="1" x14ac:dyDescent="0.25">
      <c r="B103" s="66">
        <v>34</v>
      </c>
      <c r="C103" s="67" t="s">
        <v>207</v>
      </c>
      <c r="D103" s="68"/>
      <c r="E103" s="68"/>
    </row>
    <row r="104" spans="2:5" x14ac:dyDescent="0.25">
      <c r="B104" s="52" t="s">
        <v>208</v>
      </c>
      <c r="C104" s="63" t="s">
        <v>209</v>
      </c>
      <c r="D104" s="30" t="s">
        <v>141</v>
      </c>
      <c r="E104" s="30"/>
    </row>
    <row r="105" spans="2:5" x14ac:dyDescent="0.25">
      <c r="B105" s="50" t="s">
        <v>210</v>
      </c>
      <c r="C105" s="64" t="s">
        <v>211</v>
      </c>
      <c r="D105" s="29" t="s">
        <v>141</v>
      </c>
      <c r="E105" s="29"/>
    </row>
    <row r="106" spans="2:5" x14ac:dyDescent="0.25">
      <c r="B106" s="52" t="s">
        <v>212</v>
      </c>
      <c r="C106" s="63" t="s">
        <v>213</v>
      </c>
      <c r="D106" s="30" t="s">
        <v>141</v>
      </c>
      <c r="E106" s="30"/>
    </row>
    <row r="107" spans="2:5" x14ac:dyDescent="0.25">
      <c r="B107" s="50" t="s">
        <v>214</v>
      </c>
      <c r="C107" s="64" t="s">
        <v>215</v>
      </c>
      <c r="D107" s="29" t="s">
        <v>141</v>
      </c>
      <c r="E107" s="29"/>
    </row>
    <row r="108" spans="2:5" x14ac:dyDescent="0.25">
      <c r="B108" s="52" t="s">
        <v>216</v>
      </c>
      <c r="C108" s="63" t="s">
        <v>217</v>
      </c>
      <c r="D108" s="30" t="s">
        <v>141</v>
      </c>
      <c r="E108" s="30"/>
    </row>
    <row r="109" spans="2:5" x14ac:dyDescent="0.25">
      <c r="B109" s="50" t="s">
        <v>218</v>
      </c>
      <c r="C109" s="64" t="s">
        <v>219</v>
      </c>
      <c r="D109" s="29" t="s">
        <v>141</v>
      </c>
      <c r="E109" s="29"/>
    </row>
    <row r="110" spans="2:5" x14ac:dyDescent="0.25">
      <c r="B110" s="52" t="s">
        <v>220</v>
      </c>
      <c r="C110" s="63" t="s">
        <v>221</v>
      </c>
      <c r="D110" s="30" t="s">
        <v>141</v>
      </c>
      <c r="E110" s="30"/>
    </row>
    <row r="111" spans="2:5" x14ac:dyDescent="0.25">
      <c r="B111" s="50" t="s">
        <v>222</v>
      </c>
      <c r="C111" s="64" t="s">
        <v>223</v>
      </c>
      <c r="D111" s="29" t="s">
        <v>141</v>
      </c>
      <c r="E111" s="29"/>
    </row>
    <row r="112" spans="2:5" x14ac:dyDescent="0.25">
      <c r="B112" s="52" t="s">
        <v>224</v>
      </c>
      <c r="C112" s="63" t="s">
        <v>225</v>
      </c>
      <c r="D112" s="30" t="s">
        <v>141</v>
      </c>
      <c r="E112" s="30"/>
    </row>
  </sheetData>
  <sheetProtection selectLockedCells="1"/>
  <mergeCells count="2">
    <mergeCell ref="B35:D35"/>
    <mergeCell ref="B5:F5"/>
  </mergeCells>
  <conditionalFormatting sqref="B39:C42">
    <cfRule type="expression" dxfId="40" priority="50">
      <formula>OR($D$38="Yes/No",$D$38="No")</formula>
    </cfRule>
  </conditionalFormatting>
  <conditionalFormatting sqref="B44:C47">
    <cfRule type="expression" dxfId="39" priority="49">
      <formula>OR($D$43="Yes/No",$D$43="No")</formula>
    </cfRule>
  </conditionalFormatting>
  <conditionalFormatting sqref="B49:C52">
    <cfRule type="expression" dxfId="38" priority="36">
      <formula>OR($D$48="Yes/No",$D$48="No")</formula>
    </cfRule>
  </conditionalFormatting>
  <conditionalFormatting sqref="B54:C57">
    <cfRule type="expression" dxfId="37" priority="35">
      <formula>OR($D$53="Yes/No",$D$53="No")</formula>
    </cfRule>
  </conditionalFormatting>
  <conditionalFormatting sqref="B59:C62">
    <cfRule type="expression" dxfId="36" priority="34">
      <formula>OR($D$58="Yes/No",$D$58="No")</formula>
    </cfRule>
  </conditionalFormatting>
  <conditionalFormatting sqref="B64:C67">
    <cfRule type="expression" dxfId="35" priority="33">
      <formula>OR($D$63="Yes/No",$D$63="No")</formula>
    </cfRule>
  </conditionalFormatting>
  <conditionalFormatting sqref="B69:C72">
    <cfRule type="expression" dxfId="34" priority="32">
      <formula>OR($D$68="Yes/No",$D$68="No")</formula>
    </cfRule>
  </conditionalFormatting>
  <conditionalFormatting sqref="B74:C77">
    <cfRule type="expression" dxfId="33" priority="31">
      <formula>OR($D$73="Yes/No",$D$73="No")</formula>
    </cfRule>
  </conditionalFormatting>
  <conditionalFormatting sqref="B79:C82">
    <cfRule type="expression" dxfId="32" priority="30">
      <formula>OR($D$78="Yes/No",$D$78="No")</formula>
    </cfRule>
  </conditionalFormatting>
  <conditionalFormatting sqref="B84:C87">
    <cfRule type="expression" dxfId="31" priority="29">
      <formula>OR($D$83="Yes/No",$D$83="No")</formula>
    </cfRule>
  </conditionalFormatting>
  <conditionalFormatting sqref="B89:C92">
    <cfRule type="expression" dxfId="30" priority="28">
      <formula>OR($D$88="Yes/No",$D$88="No")</formula>
    </cfRule>
  </conditionalFormatting>
  <conditionalFormatting sqref="D39:D42">
    <cfRule type="expression" dxfId="29" priority="24">
      <formula>OR($D$38="Yes/No",$D$38="No")</formula>
    </cfRule>
  </conditionalFormatting>
  <conditionalFormatting sqref="D44:D47">
    <cfRule type="expression" dxfId="28" priority="23">
      <formula>OR($D$43="Yes/No",$D$43="No")</formula>
    </cfRule>
  </conditionalFormatting>
  <conditionalFormatting sqref="D38">
    <cfRule type="containsText" dxfId="27" priority="22" operator="containsText" text="Yes/No">
      <formula>NOT(ISERROR(SEARCH("Yes/No",D38)))</formula>
    </cfRule>
  </conditionalFormatting>
  <conditionalFormatting sqref="D43">
    <cfRule type="containsText" dxfId="26" priority="21" operator="containsText" text="Yes/No">
      <formula>NOT(ISERROR(SEARCH("Yes/No",D43)))</formula>
    </cfRule>
  </conditionalFormatting>
  <conditionalFormatting sqref="D48">
    <cfRule type="containsText" dxfId="25" priority="20" operator="containsText" text="Yes/No">
      <formula>NOT(ISERROR(SEARCH("Yes/No",D48)))</formula>
    </cfRule>
  </conditionalFormatting>
  <conditionalFormatting sqref="D53">
    <cfRule type="containsText" dxfId="24" priority="19" operator="containsText" text="Yes/No">
      <formula>NOT(ISERROR(SEARCH("Yes/No",D53)))</formula>
    </cfRule>
  </conditionalFormatting>
  <conditionalFormatting sqref="D58">
    <cfRule type="containsText" dxfId="23" priority="18" operator="containsText" text="Yes/No">
      <formula>NOT(ISERROR(SEARCH("Yes/No",D58)))</formula>
    </cfRule>
  </conditionalFormatting>
  <conditionalFormatting sqref="D63">
    <cfRule type="containsText" dxfId="22" priority="17" operator="containsText" text="Yes/No">
      <formula>NOT(ISERROR(SEARCH("Yes/No",D63)))</formula>
    </cfRule>
  </conditionalFormatting>
  <conditionalFormatting sqref="D68">
    <cfRule type="containsText" dxfId="21" priority="16" operator="containsText" text="Yes/No">
      <formula>NOT(ISERROR(SEARCH("Yes/No",D68)))</formula>
    </cfRule>
  </conditionalFormatting>
  <conditionalFormatting sqref="D73">
    <cfRule type="containsText" dxfId="20" priority="15" operator="containsText" text="Yes/No">
      <formula>NOT(ISERROR(SEARCH("Yes/No",D73)))</formula>
    </cfRule>
  </conditionalFormatting>
  <conditionalFormatting sqref="D78">
    <cfRule type="containsText" dxfId="19" priority="14" operator="containsText" text="Yes/No">
      <formula>NOT(ISERROR(SEARCH("Yes/No",D78)))</formula>
    </cfRule>
  </conditionalFormatting>
  <conditionalFormatting sqref="D83">
    <cfRule type="containsText" dxfId="18" priority="13" operator="containsText" text="Yes/No">
      <formula>NOT(ISERROR(SEARCH("Yes/No",D83)))</formula>
    </cfRule>
  </conditionalFormatting>
  <conditionalFormatting sqref="D88">
    <cfRule type="containsText" dxfId="17" priority="12" operator="containsText" text="Yes/No">
      <formula>NOT(ISERROR(SEARCH("Yes/No",D88)))</formula>
    </cfRule>
  </conditionalFormatting>
  <conditionalFormatting sqref="D49:D52">
    <cfRule type="expression" dxfId="16" priority="11">
      <formula>OR($D$48="Yes/No",$D$48="No")</formula>
    </cfRule>
  </conditionalFormatting>
  <conditionalFormatting sqref="D54:D57">
    <cfRule type="expression" dxfId="15" priority="10">
      <formula>OR($D$53="Yes/No",$D$53="No")</formula>
    </cfRule>
  </conditionalFormatting>
  <conditionalFormatting sqref="D59:D62">
    <cfRule type="expression" dxfId="14" priority="9">
      <formula>OR($D$58="Yes/No",$D$58="No")</formula>
    </cfRule>
  </conditionalFormatting>
  <conditionalFormatting sqref="D64:D67">
    <cfRule type="expression" dxfId="13" priority="8">
      <formula>OR($D$63="Yes/No",$D$63="No")</formula>
    </cfRule>
  </conditionalFormatting>
  <conditionalFormatting sqref="D69:D72">
    <cfRule type="expression" dxfId="12" priority="7">
      <formula>OR($D$68="Yes/No",$D$68="No")</formula>
    </cfRule>
  </conditionalFormatting>
  <conditionalFormatting sqref="D74:D77">
    <cfRule type="expression" dxfId="11" priority="6">
      <formula>OR($D$73="Yes/No",$D$73="No")</formula>
    </cfRule>
  </conditionalFormatting>
  <conditionalFormatting sqref="D79:D82">
    <cfRule type="expression" dxfId="10" priority="5">
      <formula>OR($D$78="Yes/No",$D$78="No")</formula>
    </cfRule>
  </conditionalFormatting>
  <conditionalFormatting sqref="D84:D87">
    <cfRule type="expression" dxfId="9" priority="4">
      <formula>OR($D$83="Yes/No",$D$83="No")</formula>
    </cfRule>
  </conditionalFormatting>
  <conditionalFormatting sqref="D89:D92">
    <cfRule type="expression" dxfId="8" priority="3">
      <formula>OR($D$88="Yes/No",$D$88="No")</formula>
    </cfRule>
  </conditionalFormatting>
  <conditionalFormatting sqref="D104 D106 D108 D110 D112">
    <cfRule type="containsText" dxfId="7" priority="2" operator="containsText" text="Yes/No">
      <formula>NOT(ISERROR(SEARCH("Yes/No",D104)))</formula>
    </cfRule>
  </conditionalFormatting>
  <conditionalFormatting sqref="D105 D107 D109 D111">
    <cfRule type="containsText" dxfId="6" priority="1" operator="containsText" text="Yes/No">
      <formula>NOT(ISERROR(SEARCH("Yes/No",D105)))</formula>
    </cfRule>
  </conditionalFormatting>
  <dataValidations count="5">
    <dataValidation type="list" allowBlank="1" showInputMessage="1" showErrorMessage="1" sqref="E9:E12 D102" xr:uid="{66A48934-E006-4983-8164-41DB1388E1E6}">
      <formula1>$L$3:$L$5</formula1>
    </dataValidation>
    <dataValidation type="list" allowBlank="1" showInputMessage="1" showErrorMessage="1" sqref="D38" xr:uid="{91AD7A89-F300-437A-BCE2-27B7704083B9}">
      <formula1>"Yes/No,Yes, No"</formula1>
    </dataValidation>
    <dataValidation type="list" allowBlank="1" showInputMessage="1" showErrorMessage="1" sqref="D43 D48 D53 D58 D63 D73 D78 D83 D88 D68" xr:uid="{9EDFECA4-D8DF-4B81-B5E0-9F90DCC41889}">
      <formula1>"Yes/No,Yes,No"</formula1>
    </dataValidation>
    <dataValidation type="list" allowBlank="1" showInputMessage="1" showErrorMessage="1" sqref="D17 D97" xr:uid="{6A78D74A-DF73-496D-8AD7-EDC54629CA9B}">
      <formula1>"Yes, No"</formula1>
    </dataValidation>
    <dataValidation type="list" allowBlank="1" showInputMessage="1" showErrorMessage="1" sqref="D104:D112" xr:uid="{11306F71-37FB-486B-A12D-760ED89E2B3B}">
      <formula1>"Yes/No, Yes, No"</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5D7D3-51BB-4B3C-BC64-10711E2BD480}">
  <sheetPr codeName="Sheet14"/>
  <dimension ref="A1:L102"/>
  <sheetViews>
    <sheetView showGridLines="0" showRowColHeaders="0" topLeftCell="A80" zoomScale="160" zoomScaleNormal="160" workbookViewId="0">
      <selection activeCell="E101" sqref="E101"/>
    </sheetView>
  </sheetViews>
  <sheetFormatPr defaultColWidth="9.140625" defaultRowHeight="15" x14ac:dyDescent="0.25"/>
  <cols>
    <col min="1" max="1" width="25.7109375" customWidth="1"/>
    <col min="2" max="2" width="5.7109375" customWidth="1"/>
    <col min="3" max="3" width="73.7109375" customWidth="1"/>
    <col min="4" max="4" width="77.7109375" customWidth="1"/>
    <col min="5" max="5" width="14.7109375" customWidth="1"/>
    <col min="6" max="6" width="54.7109375" customWidth="1"/>
    <col min="7" max="7" width="0.7109375" customWidth="1"/>
    <col min="12" max="12" width="0" hidden="1" customWidth="1"/>
  </cols>
  <sheetData>
    <row r="1" spans="1:12" ht="2.25" customHeight="1" x14ac:dyDescent="0.25">
      <c r="A1" s="46"/>
      <c r="L1" s="5" t="s">
        <v>109</v>
      </c>
    </row>
    <row r="2" spans="1:12" ht="65.099999999999994" customHeight="1" x14ac:dyDescent="0.25">
      <c r="B2" s="143" t="s">
        <v>226</v>
      </c>
    </row>
    <row r="3" spans="1:12" ht="3" customHeight="1" x14ac:dyDescent="0.25">
      <c r="L3" t="s">
        <v>110</v>
      </c>
    </row>
    <row r="4" spans="1:12" ht="5.0999999999999996" customHeight="1" x14ac:dyDescent="0.25">
      <c r="A4" s="25"/>
      <c r="B4" s="47"/>
      <c r="C4" s="47"/>
      <c r="D4" s="47"/>
      <c r="E4" s="47"/>
      <c r="L4" t="s">
        <v>111</v>
      </c>
    </row>
    <row r="5" spans="1:12" ht="60" customHeight="1" x14ac:dyDescent="0.25">
      <c r="B5" s="259" t="s">
        <v>227</v>
      </c>
      <c r="C5" s="259"/>
      <c r="D5" s="259"/>
      <c r="E5" s="259"/>
      <c r="L5" t="s">
        <v>113</v>
      </c>
    </row>
    <row r="6" spans="1:12" ht="24.95" customHeight="1" x14ac:dyDescent="0.3">
      <c r="B6" s="48" t="s">
        <v>228</v>
      </c>
      <c r="C6" s="55"/>
    </row>
    <row r="7" spans="1:12" ht="3" customHeight="1" x14ac:dyDescent="0.25">
      <c r="B7" s="56"/>
      <c r="C7" s="57"/>
      <c r="D7" s="25"/>
      <c r="E7" s="25"/>
      <c r="F7" s="25"/>
    </row>
    <row r="8" spans="1:12" ht="60" customHeight="1" x14ac:dyDescent="0.25">
      <c r="B8" s="260" t="s">
        <v>229</v>
      </c>
      <c r="C8" s="260"/>
      <c r="D8" s="260"/>
      <c r="E8" s="260"/>
      <c r="F8" s="260"/>
    </row>
    <row r="9" spans="1:12" ht="15" customHeight="1" x14ac:dyDescent="0.25">
      <c r="B9" s="168" t="s">
        <v>115</v>
      </c>
      <c r="C9" s="168" t="s">
        <v>116</v>
      </c>
      <c r="D9" s="168" t="s">
        <v>117</v>
      </c>
      <c r="E9" s="168" t="s">
        <v>25</v>
      </c>
      <c r="F9" s="168" t="s">
        <v>118</v>
      </c>
    </row>
    <row r="10" spans="1:12" ht="45" customHeight="1" x14ac:dyDescent="0.25">
      <c r="B10" s="50">
        <v>1</v>
      </c>
      <c r="C10" s="60" t="str">
        <f>IFERROR("What is the lowest number of "&amp;VLOOKUP(Scope!C18,Scope!T:U,2,FALSE)&amp;" incidents that occurred in your organisation in one year? (If no incidents occurred, zero is your figure)","Please go back and complete the 'Scope' tab to enable this question to appear")</f>
        <v>Please go back and complete the 'Scope' tab to enable this question to appear</v>
      </c>
      <c r="D10" s="51" t="s">
        <v>230</v>
      </c>
      <c r="E10" s="239"/>
      <c r="F10" s="29"/>
    </row>
    <row r="11" spans="1:12" ht="45" customHeight="1" x14ac:dyDescent="0.25">
      <c r="B11" s="52">
        <v>2</v>
      </c>
      <c r="C11" s="76" t="str">
        <f>IFERROR("What is the highest number of "&amp;VLOOKUP(Scope!C18,Scope!T:U,2,FALSE)&amp;" incidents that occurred in your organisation in one year?","Please go back and complete the 'Scope' tab to enable this question to appear")</f>
        <v>Please go back and complete the 'Scope' tab to enable this question to appear</v>
      </c>
      <c r="D11" s="53" t="s">
        <v>231</v>
      </c>
      <c r="E11" s="240"/>
      <c r="F11" s="30"/>
    </row>
    <row r="12" spans="1:12" ht="30" customHeight="1" x14ac:dyDescent="0.25">
      <c r="B12" s="69">
        <v>3</v>
      </c>
      <c r="C12" s="71" t="str">
        <f>IFERROR("What is the most typical number of "&amp;VLOOKUP(Scope!C18,Scope!T:U,2,FALSE)&amp;" incidents that occurred in your organisation?","Please go back and complete the 'Scope' tab to enable this question to appear")</f>
        <v>Please go back and complete the 'Scope' tab to enable this question to appear</v>
      </c>
      <c r="D12" s="72" t="s">
        <v>232</v>
      </c>
      <c r="E12" s="241"/>
      <c r="F12" s="70"/>
    </row>
    <row r="13" spans="1:12" ht="15" customHeight="1" x14ac:dyDescent="0.25">
      <c r="E13" s="235"/>
    </row>
    <row r="14" spans="1:12" ht="24.95" customHeight="1" x14ac:dyDescent="0.3">
      <c r="B14" s="48" t="s">
        <v>233</v>
      </c>
      <c r="C14" s="55"/>
    </row>
    <row r="15" spans="1:12" ht="3" customHeight="1" x14ac:dyDescent="0.25">
      <c r="B15" s="77"/>
      <c r="C15" s="77"/>
      <c r="D15" s="77"/>
      <c r="E15" s="77"/>
      <c r="F15" s="77"/>
    </row>
    <row r="16" spans="1:12" ht="46.5" customHeight="1" x14ac:dyDescent="0.25">
      <c r="B16" s="260" t="s">
        <v>234</v>
      </c>
      <c r="C16" s="260"/>
      <c r="D16" s="260"/>
      <c r="E16" s="260"/>
      <c r="F16" s="260"/>
    </row>
    <row r="17" spans="2:6" ht="15" customHeight="1" x14ac:dyDescent="0.25">
      <c r="B17" s="168" t="s">
        <v>115</v>
      </c>
      <c r="C17" s="168" t="s">
        <v>116</v>
      </c>
      <c r="D17" s="168" t="s">
        <v>117</v>
      </c>
      <c r="E17" s="168" t="s">
        <v>25</v>
      </c>
      <c r="F17" s="168" t="s">
        <v>118</v>
      </c>
    </row>
    <row r="18" spans="2:6" ht="60" customHeight="1" x14ac:dyDescent="0.25">
      <c r="B18" s="50">
        <v>4</v>
      </c>
      <c r="C18" s="60" t="str">
        <f>IFERROR("In a best case scenario, what is the forecasted frequency of "&amp;VLOOKUP(Scope!C18,Scope!T:U,2,FALSE)&amp;" incidents occuring in the next year?","Please go back and complete the 'Scope' tab to enable this question to appear")</f>
        <v>Please go back and complete the 'Scope' tab to enable this question to appear</v>
      </c>
      <c r="D18" s="51" t="s">
        <v>235</v>
      </c>
      <c r="E18" s="230"/>
      <c r="F18" s="29"/>
    </row>
    <row r="19" spans="2:6" ht="30" customHeight="1" x14ac:dyDescent="0.25">
      <c r="B19" s="52">
        <v>5</v>
      </c>
      <c r="C19" s="59" t="str">
        <f>IFERROR("In a worst case scenario, what is the forecasted frequency of "&amp;VLOOKUP(Scope!C18,Scope!T:U,2,FALSE)&amp;" incidents occuring in the next year?","Please go back and complete the 'Scope' tab to enable this question to appear")</f>
        <v>Please go back and complete the 'Scope' tab to enable this question to appear</v>
      </c>
      <c r="D19" s="53" t="s">
        <v>236</v>
      </c>
      <c r="E19" s="229"/>
      <c r="F19" s="30"/>
    </row>
    <row r="20" spans="2:6" ht="30" customHeight="1" x14ac:dyDescent="0.25">
      <c r="B20" s="73">
        <v>6</v>
      </c>
      <c r="C20" s="81" t="str">
        <f>IFERROR("In a typical scenario, what is the forecasted future frequency of "&amp;VLOOKUP(Scope!C18,Scope!T:U,2,FALSE)&amp;" incidents occurring next year?","Please go back and complete the 'Scope' tab to enable this question to appear")</f>
        <v>Please go back and complete the 'Scope' tab to enable this question to appear</v>
      </c>
      <c r="D20" s="81" t="s">
        <v>237</v>
      </c>
      <c r="E20" s="231"/>
      <c r="F20" s="75"/>
    </row>
    <row r="21" spans="2:6" ht="15" customHeight="1" x14ac:dyDescent="0.25"/>
    <row r="22" spans="2:6" ht="24.95" customHeight="1" x14ac:dyDescent="0.3">
      <c r="B22" s="48" t="s">
        <v>238</v>
      </c>
      <c r="C22" s="55"/>
    </row>
    <row r="23" spans="2:6" ht="3" customHeight="1" x14ac:dyDescent="0.3">
      <c r="B23" s="49"/>
      <c r="C23" s="57"/>
      <c r="D23" s="25"/>
      <c r="E23" s="25"/>
      <c r="F23" s="25"/>
    </row>
    <row r="24" spans="2:6" ht="60" customHeight="1" x14ac:dyDescent="0.25">
      <c r="B24" s="260" t="s">
        <v>239</v>
      </c>
      <c r="C24" s="260"/>
      <c r="D24" s="260"/>
      <c r="E24" s="260"/>
      <c r="F24" s="260"/>
    </row>
    <row r="25" spans="2:6" ht="15" customHeight="1" x14ac:dyDescent="0.25">
      <c r="B25" s="168" t="s">
        <v>115</v>
      </c>
      <c r="C25" s="168" t="s">
        <v>116</v>
      </c>
      <c r="D25" s="168" t="s">
        <v>117</v>
      </c>
      <c r="E25" s="168" t="s">
        <v>25</v>
      </c>
      <c r="F25" s="168" t="s">
        <v>240</v>
      </c>
    </row>
    <row r="26" spans="2:6" ht="45" customHeight="1" x14ac:dyDescent="0.25">
      <c r="B26" s="50">
        <v>7</v>
      </c>
      <c r="C26" s="60" t="str">
        <f>IFERROR("What was the lowest productivity cost associated with a single "&amp;VLOOKUP(Scope!C18,Scope!T:U,2,FALSE)&amp;" incident?","Please go back and complete the 'Scope' tab to enable this question to appear")</f>
        <v>Please go back and complete the 'Scope' tab to enable this question to appear</v>
      </c>
      <c r="D26" s="51" t="s">
        <v>241</v>
      </c>
      <c r="E26" s="243"/>
      <c r="F26" s="29"/>
    </row>
    <row r="27" spans="2:6" ht="46.5" customHeight="1" x14ac:dyDescent="0.25">
      <c r="B27" s="52">
        <v>8</v>
      </c>
      <c r="C27" s="76" t="str">
        <f>IFERROR("What was the highest productivity cost associated with a single "&amp;VLOOKUP(Scope!C18,Scope!T:U,2,FALSE)&amp;" incident?","Please go back and complete the 'Scope' tab to enable this question to appear")</f>
        <v>Please go back and complete the 'Scope' tab to enable this question to appear</v>
      </c>
      <c r="D27" s="53" t="s">
        <v>242</v>
      </c>
      <c r="E27" s="244"/>
      <c r="F27" s="30"/>
    </row>
    <row r="28" spans="2:6" ht="30" customHeight="1" x14ac:dyDescent="0.25">
      <c r="B28" s="73">
        <v>9</v>
      </c>
      <c r="C28" s="81" t="str">
        <f>IFERROR("What was the most typical productivity cost associated with a single "&amp;VLOOKUP(Scope!C18,Scope!T:U,2,FALSE)&amp;" incident?","Please go back and complete the 'Scope' tab to enable this question to appear")</f>
        <v>Please go back and complete the 'Scope' tab to enable this question to appear</v>
      </c>
      <c r="D28" s="81" t="s">
        <v>232</v>
      </c>
      <c r="E28" s="245"/>
      <c r="F28" s="75"/>
    </row>
    <row r="29" spans="2:6" ht="15" customHeight="1" x14ac:dyDescent="0.25">
      <c r="E29" s="246"/>
    </row>
    <row r="30" spans="2:6" ht="24.95" customHeight="1" x14ac:dyDescent="0.3">
      <c r="B30" s="48" t="s">
        <v>243</v>
      </c>
    </row>
    <row r="31" spans="2:6" ht="3" customHeight="1" x14ac:dyDescent="0.3">
      <c r="B31" s="49"/>
      <c r="C31" s="25"/>
      <c r="D31" s="25"/>
      <c r="E31" s="25"/>
      <c r="F31" s="25"/>
    </row>
    <row r="32" spans="2:6" ht="45" customHeight="1" x14ac:dyDescent="0.25">
      <c r="B32" s="260" t="s">
        <v>244</v>
      </c>
      <c r="C32" s="260"/>
      <c r="D32" s="260"/>
      <c r="E32" s="260"/>
      <c r="F32" s="260"/>
    </row>
    <row r="33" spans="2:6" ht="15" customHeight="1" x14ac:dyDescent="0.25">
      <c r="B33" s="168" t="s">
        <v>115</v>
      </c>
      <c r="C33" s="168" t="s">
        <v>116</v>
      </c>
      <c r="D33" s="168" t="s">
        <v>117</v>
      </c>
      <c r="E33" s="168" t="s">
        <v>25</v>
      </c>
      <c r="F33" s="168" t="s">
        <v>240</v>
      </c>
    </row>
    <row r="34" spans="2:6" ht="45" customHeight="1" x14ac:dyDescent="0.25">
      <c r="B34" s="78">
        <v>10</v>
      </c>
      <c r="C34" s="51" t="str">
        <f>IFERROR("What was the lowest response cost associated with a single "&amp;VLOOKUP(Scope!C18,Scope!T:U,2,FALSE)&amp;" incident?","Please go back and complete the 'Scope' tab to enable this question to appear")</f>
        <v>Please go back and complete the 'Scope' tab to enable this question to appear</v>
      </c>
      <c r="D34" s="51" t="s">
        <v>245</v>
      </c>
      <c r="E34" s="247"/>
      <c r="F34" s="29"/>
    </row>
    <row r="35" spans="2:6" ht="60" customHeight="1" x14ac:dyDescent="0.25">
      <c r="B35" s="79">
        <v>11</v>
      </c>
      <c r="C35" s="53" t="str">
        <f>IFERROR("What was the highest response cost associated with a single "&amp;VLOOKUP(Scope!C18,Scope!T:U,2,FALSE)&amp;" incident?","Please go back and complete the 'Scope' tab to enable this question to appear")</f>
        <v>Please go back and complete the 'Scope' tab to enable this question to appear</v>
      </c>
      <c r="D35" s="53" t="s">
        <v>246</v>
      </c>
      <c r="E35" s="242"/>
      <c r="F35" s="30"/>
    </row>
    <row r="36" spans="2:6" ht="30" customHeight="1" x14ac:dyDescent="0.25">
      <c r="B36" s="73">
        <v>12</v>
      </c>
      <c r="C36" s="81" t="str">
        <f>IFERROR("What was the most typical response cost associated with a single "&amp;VLOOKUP(Scope!C18,Scope!T:U,2,FALSE)&amp;" incident?","Please go back and complete the 'Scope' tab to enable this question to appear")</f>
        <v>Please go back and complete the 'Scope' tab to enable this question to appear</v>
      </c>
      <c r="D36" s="81" t="s">
        <v>232</v>
      </c>
      <c r="E36" s="248"/>
      <c r="F36" s="75"/>
    </row>
    <row r="37" spans="2:6" ht="15" customHeight="1" x14ac:dyDescent="0.25"/>
    <row r="38" spans="2:6" ht="24.95" customHeight="1" x14ac:dyDescent="0.3">
      <c r="B38" s="48" t="s">
        <v>247</v>
      </c>
    </row>
    <row r="39" spans="2:6" ht="3" customHeight="1" x14ac:dyDescent="0.3">
      <c r="B39" s="49"/>
      <c r="C39" s="25"/>
      <c r="D39" s="25"/>
      <c r="E39" s="25"/>
      <c r="F39" s="25"/>
    </row>
    <row r="40" spans="2:6" ht="45" customHeight="1" x14ac:dyDescent="0.25">
      <c r="B40" s="260" t="s">
        <v>248</v>
      </c>
      <c r="C40" s="260"/>
      <c r="D40" s="260"/>
      <c r="E40" s="260"/>
      <c r="F40" s="260"/>
    </row>
    <row r="41" spans="2:6" ht="15" customHeight="1" x14ac:dyDescent="0.25">
      <c r="B41" s="168" t="s">
        <v>115</v>
      </c>
      <c r="C41" s="168" t="s">
        <v>116</v>
      </c>
      <c r="D41" s="168" t="s">
        <v>117</v>
      </c>
      <c r="E41" s="168" t="s">
        <v>25</v>
      </c>
      <c r="F41" s="168" t="s">
        <v>240</v>
      </c>
    </row>
    <row r="42" spans="2:6" ht="45" customHeight="1" x14ac:dyDescent="0.25">
      <c r="B42" s="78">
        <v>13</v>
      </c>
      <c r="C42" s="51" t="str">
        <f>IFERROR("What was the lowest replacement cost associated with a single "&amp;VLOOKUP(Scope!C18,Scope!T:U,2,FALSE)&amp;" incident?","Please go back and complete the 'Scope' tab to enable this question to appear")</f>
        <v>Please go back and complete the 'Scope' tab to enable this question to appear</v>
      </c>
      <c r="D42" s="51" t="s">
        <v>249</v>
      </c>
      <c r="E42" s="247"/>
      <c r="F42" s="29"/>
    </row>
    <row r="43" spans="2:6" ht="46.5" customHeight="1" x14ac:dyDescent="0.25">
      <c r="B43" s="79">
        <v>14</v>
      </c>
      <c r="C43" s="53" t="str">
        <f>IFERROR("What was the highest replacement cost associated with a single "&amp;VLOOKUP(Scope!C18,Scope!T:U,2,FALSE)&amp;" incident?","Please go back and complete the 'Scope' tab to enable this question to appear")</f>
        <v>Please go back and complete the 'Scope' tab to enable this question to appear</v>
      </c>
      <c r="D43" s="53" t="s">
        <v>250</v>
      </c>
      <c r="E43" s="242"/>
      <c r="F43" s="30"/>
    </row>
    <row r="44" spans="2:6" ht="30" customHeight="1" x14ac:dyDescent="0.25">
      <c r="B44" s="73">
        <v>15</v>
      </c>
      <c r="C44" s="81" t="str">
        <f>IFERROR("What was the most typical replacement cost associated with a single "&amp;VLOOKUP(Scope!C18,Scope!T:U,2,FALSE)&amp;" incident?","Please go back and complete the 'Scope' tab to enable this question to appear")</f>
        <v>Please go back and complete the 'Scope' tab to enable this question to appear</v>
      </c>
      <c r="D44" s="81" t="s">
        <v>232</v>
      </c>
      <c r="E44" s="248"/>
      <c r="F44" s="75"/>
    </row>
    <row r="45" spans="2:6" ht="15" customHeight="1" x14ac:dyDescent="0.25"/>
    <row r="46" spans="2:6" ht="24.95" customHeight="1" x14ac:dyDescent="0.3">
      <c r="B46" s="48" t="s">
        <v>251</v>
      </c>
      <c r="C46" s="55"/>
    </row>
    <row r="47" spans="2:6" ht="3" customHeight="1" x14ac:dyDescent="0.25">
      <c r="B47" s="56"/>
      <c r="C47" s="57"/>
      <c r="D47" s="25"/>
      <c r="E47" s="25"/>
      <c r="F47" s="25"/>
    </row>
    <row r="48" spans="2:6" ht="45" customHeight="1" x14ac:dyDescent="0.25">
      <c r="B48" s="260" t="s">
        <v>252</v>
      </c>
      <c r="C48" s="260"/>
      <c r="D48" s="260"/>
      <c r="E48" s="260"/>
      <c r="F48" s="260"/>
    </row>
    <row r="49" spans="2:6" x14ac:dyDescent="0.25">
      <c r="B49" s="168" t="s">
        <v>115</v>
      </c>
      <c r="C49" s="168" t="s">
        <v>116</v>
      </c>
      <c r="D49" s="168" t="s">
        <v>117</v>
      </c>
      <c r="E49" s="168" t="s">
        <v>25</v>
      </c>
      <c r="F49" s="168" t="s">
        <v>240</v>
      </c>
    </row>
    <row r="50" spans="2:6" ht="60" x14ac:dyDescent="0.25">
      <c r="B50" s="50">
        <v>16</v>
      </c>
      <c r="C50" s="51" t="str">
        <f>IFERROR("When an "&amp;VLOOKUP(Scope!C18,Scope!T:U,2,FALSE)&amp;" incident occurs, what is the minimum expectation that the organisation would suffer reputational damage?","Please go back and complete the 'Scope' tab to enable this question to appear")</f>
        <v>Please go back and complete the 'Scope' tab to enable this question to appear</v>
      </c>
      <c r="D50" s="51" t="s">
        <v>253</v>
      </c>
      <c r="E50" s="236"/>
      <c r="F50" s="29"/>
    </row>
    <row r="51" spans="2:6" ht="30" x14ac:dyDescent="0.25">
      <c r="B51" s="52">
        <v>17</v>
      </c>
      <c r="C51" s="80" t="str">
        <f>IFERROR("When an "&amp;VLOOKUP(Scope!C18,Scope!T:U,2,FALSE)&amp;" incident occurs, what is the maximum expectation that the organisation would suffer reputational damage?","Please go back and complete the 'Scope' tab to enable this question to appear")</f>
        <v>Please go back and complete the 'Scope' tab to enable this question to appear</v>
      </c>
      <c r="D51" s="53" t="s">
        <v>236</v>
      </c>
      <c r="E51" s="237"/>
      <c r="F51" s="30"/>
    </row>
    <row r="52" spans="2:6" ht="30" customHeight="1" x14ac:dyDescent="0.25">
      <c r="B52" s="73">
        <v>18</v>
      </c>
      <c r="C52" s="81" t="str">
        <f>IFERROR("When an "&amp;VLOOKUP(Scope!C18,Scope!T:U,2,FALSE)&amp;" incident occurs, what is the typical expectation that the organisation would suffer reputational damage?","Please go back and complete the 'Scope' tab to enable this question to appear")</f>
        <v>Please go back and complete the 'Scope' tab to enable this question to appear</v>
      </c>
      <c r="D52" s="81" t="s">
        <v>237</v>
      </c>
      <c r="E52" s="238"/>
      <c r="F52" s="75"/>
    </row>
    <row r="53" spans="2:6" x14ac:dyDescent="0.25">
      <c r="E53" s="235"/>
    </row>
    <row r="54" spans="2:6" ht="24.95" customHeight="1" x14ac:dyDescent="0.3">
      <c r="B54" s="48" t="s">
        <v>254</v>
      </c>
    </row>
    <row r="55" spans="2:6" ht="3" customHeight="1" x14ac:dyDescent="0.25">
      <c r="B55" s="56"/>
      <c r="C55" s="25"/>
      <c r="D55" s="25"/>
      <c r="E55" s="25"/>
      <c r="F55" s="25"/>
    </row>
    <row r="56" spans="2:6" ht="45" customHeight="1" x14ac:dyDescent="0.25">
      <c r="B56" s="260" t="s">
        <v>255</v>
      </c>
      <c r="C56" s="260"/>
      <c r="D56" s="260"/>
      <c r="E56" s="260"/>
      <c r="F56" s="260"/>
    </row>
    <row r="57" spans="2:6" ht="15" customHeight="1" x14ac:dyDescent="0.25">
      <c r="B57" s="168" t="s">
        <v>115</v>
      </c>
      <c r="C57" s="168" t="s">
        <v>116</v>
      </c>
      <c r="D57" s="168" t="s">
        <v>117</v>
      </c>
      <c r="E57" s="168" t="s">
        <v>25</v>
      </c>
      <c r="F57" s="168" t="s">
        <v>240</v>
      </c>
    </row>
    <row r="58" spans="2:6" ht="60" customHeight="1" x14ac:dyDescent="0.25">
      <c r="B58" s="78">
        <v>19</v>
      </c>
      <c r="C58" s="51" t="str">
        <f>IFERROR("When an "&amp;VLOOKUP(Scope!C18,Scope!T:U,2,FALSE)&amp;" incident occurs, what is the minimum expectation that the organisation would suffer legal and regulatory damage?","Please go back and complete the 'Scope' tab to enable this question to appear")</f>
        <v>Please go back and complete the 'Scope' tab to enable this question to appear</v>
      </c>
      <c r="D58" s="51" t="s">
        <v>256</v>
      </c>
      <c r="E58" s="236"/>
      <c r="F58" s="29"/>
    </row>
    <row r="59" spans="2:6" ht="30" customHeight="1" x14ac:dyDescent="0.25">
      <c r="B59" s="79">
        <v>20</v>
      </c>
      <c r="C59" s="53" t="str">
        <f>IFERROR("When an "&amp;VLOOKUP(Scope!C18,Scope!T:U,2,FALSE)&amp;" incident occurs, what is the maximum expectation that the organisation would suffer legal and regulatory damage?","Please go back and complete the 'Scope' tab to enable this question to appear")</f>
        <v>Please go back and complete the 'Scope' tab to enable this question to appear</v>
      </c>
      <c r="D59" s="53" t="s">
        <v>236</v>
      </c>
      <c r="E59" s="237"/>
      <c r="F59" s="30"/>
    </row>
    <row r="60" spans="2:6" ht="30" customHeight="1" x14ac:dyDescent="0.25">
      <c r="B60" s="73">
        <v>21</v>
      </c>
      <c r="C60" s="81" t="str">
        <f>IFERROR("When an "&amp;VLOOKUP(Scope!C18,Scope!T:U,2,FALSE)&amp;" incident occurs, what is the typical expectation that the organisation would suffer legal and regulatory damage?","Please go back and complete the 'Scope' tab to enable this question to appear")</f>
        <v>Please go back and complete the 'Scope' tab to enable this question to appear</v>
      </c>
      <c r="D60" s="81" t="s">
        <v>237</v>
      </c>
      <c r="E60" s="238"/>
      <c r="F60" s="75"/>
    </row>
    <row r="62" spans="2:6" ht="24.95" customHeight="1" x14ac:dyDescent="0.3">
      <c r="B62" s="48" t="s">
        <v>257</v>
      </c>
    </row>
    <row r="63" spans="2:6" ht="3" customHeight="1" x14ac:dyDescent="0.3">
      <c r="B63" s="49"/>
      <c r="C63" s="25"/>
      <c r="D63" s="25"/>
      <c r="E63" s="25"/>
      <c r="F63" s="25"/>
    </row>
    <row r="64" spans="2:6" ht="60" customHeight="1" x14ac:dyDescent="0.25">
      <c r="B64" s="260" t="s">
        <v>258</v>
      </c>
      <c r="C64" s="260"/>
      <c r="D64" s="260"/>
      <c r="E64" s="260"/>
      <c r="F64" s="260"/>
    </row>
    <row r="65" spans="2:6" ht="15" customHeight="1" x14ac:dyDescent="0.25">
      <c r="B65" s="168" t="s">
        <v>115</v>
      </c>
      <c r="C65" s="168" t="s">
        <v>116</v>
      </c>
      <c r="D65" s="168" t="s">
        <v>117</v>
      </c>
      <c r="E65" s="168" t="s">
        <v>25</v>
      </c>
      <c r="F65" s="168" t="s">
        <v>240</v>
      </c>
    </row>
    <row r="66" spans="2:6" ht="60" x14ac:dyDescent="0.25">
      <c r="B66" s="78">
        <v>22</v>
      </c>
      <c r="C66" s="51" t="str">
        <f>IFERROR("When an "&amp;VLOOKUP(Scope!C18,Scope!T:U,2,FALSE)&amp;" incident occurs, what is the minimum expectation that the organisation would suffer damage associated with competitive advantage?","Please go back and complete the 'Scope' tab to enable this question to appear")</f>
        <v>Please go back and complete the 'Scope' tab to enable this question to appear</v>
      </c>
      <c r="D66" s="51" t="s">
        <v>259</v>
      </c>
      <c r="E66" s="236"/>
      <c r="F66" s="29"/>
    </row>
    <row r="67" spans="2:6" ht="30" x14ac:dyDescent="0.25">
      <c r="B67" s="79">
        <v>23</v>
      </c>
      <c r="C67" s="53" t="str">
        <f>IFERROR("When an "&amp;VLOOKUP(Scope!C18,Scope!T:U,2,FALSE)&amp;" incident occurs, what is the maximum expectation that the organisation would suffer damage associated with competitive advantage?","Please go back and complete the 'Scope' tab to enable this question to appear")</f>
        <v>Please go back and complete the 'Scope' tab to enable this question to appear</v>
      </c>
      <c r="D67" s="53" t="s">
        <v>236</v>
      </c>
      <c r="E67" s="237"/>
      <c r="F67" s="30"/>
    </row>
    <row r="68" spans="2:6" ht="30" customHeight="1" x14ac:dyDescent="0.25">
      <c r="B68" s="73">
        <v>24</v>
      </c>
      <c r="C68" s="81" t="str">
        <f>IFERROR("When an "&amp;VLOOKUP(Scope!C18,Scope!T:U,2,FALSE)&amp;" incident occurs, what is the typical expectation that the organisation would suffer damage associated with competitive advantage?","Please go back and complete the 'Scope' tab to enable this question to appear")</f>
        <v>Please go back and complete the 'Scope' tab to enable this question to appear</v>
      </c>
      <c r="D68" s="81" t="s">
        <v>237</v>
      </c>
      <c r="E68" s="238"/>
      <c r="F68" s="75"/>
    </row>
    <row r="69" spans="2:6" ht="15" customHeight="1" x14ac:dyDescent="0.25"/>
    <row r="70" spans="2:6" ht="24.95" customHeight="1" x14ac:dyDescent="0.3">
      <c r="B70" s="48" t="s">
        <v>260</v>
      </c>
      <c r="C70" s="55"/>
    </row>
    <row r="71" spans="2:6" ht="3" customHeight="1" x14ac:dyDescent="0.25">
      <c r="B71" s="56"/>
      <c r="C71" s="57"/>
      <c r="D71" s="25"/>
      <c r="E71" s="25"/>
      <c r="F71" s="25"/>
    </row>
    <row r="72" spans="2:6" ht="46.5" customHeight="1" x14ac:dyDescent="0.25">
      <c r="B72" s="260" t="s">
        <v>252</v>
      </c>
      <c r="C72" s="260"/>
      <c r="D72" s="260"/>
      <c r="E72" s="260"/>
      <c r="F72" s="260"/>
    </row>
    <row r="73" spans="2:6" ht="15" customHeight="1" x14ac:dyDescent="0.25">
      <c r="B73" s="168" t="s">
        <v>115</v>
      </c>
      <c r="C73" s="168" t="s">
        <v>116</v>
      </c>
      <c r="D73" s="168" t="s">
        <v>117</v>
      </c>
      <c r="E73" s="168" t="s">
        <v>25</v>
      </c>
      <c r="F73" s="168" t="s">
        <v>240</v>
      </c>
    </row>
    <row r="74" spans="2:6" ht="46.5" customHeight="1" x14ac:dyDescent="0.25">
      <c r="B74" s="50">
        <v>25</v>
      </c>
      <c r="C74" s="51" t="str">
        <f>IFERROR("What is the lowest cost associated with reputational damage as caused by a single "&amp;VLOOKUP(Scope!C18,Scope!T:U,2,FALSE)&amp;" incident?","Please go back and complete the 'Scope' tab to enable this question to appear")</f>
        <v>Please go back and complete the 'Scope' tab to enable this question to appear</v>
      </c>
      <c r="D74" s="51" t="s">
        <v>261</v>
      </c>
      <c r="E74" s="232"/>
      <c r="F74" s="29"/>
    </row>
    <row r="75" spans="2:6" ht="30" x14ac:dyDescent="0.25">
      <c r="B75" s="52">
        <v>26</v>
      </c>
      <c r="C75" s="80" t="str">
        <f>IFERROR("What is the highest cost associated with reputational damage as caused by a single "&amp;VLOOKUP(Scope!C18,Scope!T:U,2,FALSE)&amp;" incident?","Please go back and complete the 'Scope' tab to enable this question to appear")</f>
        <v>Please go back and complete the 'Scope' tab to enable this question to appear</v>
      </c>
      <c r="D75" s="53" t="s">
        <v>262</v>
      </c>
      <c r="E75" s="233"/>
      <c r="F75" s="30"/>
    </row>
    <row r="76" spans="2:6" ht="30" x14ac:dyDescent="0.25">
      <c r="B76" s="73">
        <v>27</v>
      </c>
      <c r="C76" s="81" t="str">
        <f>IFERROR("What is the typical cost associated with reputational damage as caused by a single "&amp;VLOOKUP(Scope!C18,Scope!T:U,2,FALSE)&amp;" incident?","Please go back and complete the 'Scope' tab to enable this question to appear")</f>
        <v>Please go back and complete the 'Scope' tab to enable this question to appear</v>
      </c>
      <c r="D76" s="81" t="s">
        <v>232</v>
      </c>
      <c r="E76" s="234"/>
      <c r="F76" s="75"/>
    </row>
    <row r="77" spans="2:6" x14ac:dyDescent="0.25">
      <c r="E77" s="235"/>
    </row>
    <row r="78" spans="2:6" ht="24.95" customHeight="1" x14ac:dyDescent="0.3">
      <c r="B78" s="48" t="s">
        <v>263</v>
      </c>
    </row>
    <row r="79" spans="2:6" ht="3" customHeight="1" x14ac:dyDescent="0.25">
      <c r="B79" s="56"/>
      <c r="C79" s="25"/>
      <c r="D79" s="25"/>
      <c r="E79" s="25"/>
      <c r="F79" s="25"/>
    </row>
    <row r="80" spans="2:6" ht="46.5" customHeight="1" x14ac:dyDescent="0.25">
      <c r="B80" s="260" t="s">
        <v>264</v>
      </c>
      <c r="C80" s="260"/>
      <c r="D80" s="260"/>
      <c r="E80" s="260"/>
      <c r="F80" s="260"/>
    </row>
    <row r="81" spans="2:6" ht="15" customHeight="1" x14ac:dyDescent="0.25">
      <c r="B81" s="168" t="s">
        <v>115</v>
      </c>
      <c r="C81" s="168" t="s">
        <v>116</v>
      </c>
      <c r="D81" s="168" t="s">
        <v>117</v>
      </c>
      <c r="E81" s="168" t="s">
        <v>25</v>
      </c>
      <c r="F81" s="168" t="s">
        <v>240</v>
      </c>
    </row>
    <row r="82" spans="2:6" ht="46.5" customHeight="1" x14ac:dyDescent="0.25">
      <c r="B82" s="78">
        <v>28</v>
      </c>
      <c r="C82" s="51" t="str">
        <f>IFERROR("What is the lowest cost associated with legal and regulatory damage as caused by a single "&amp;VLOOKUP(Scope!C18,Scope!T:U,2,FALSE)&amp;" incident?","Please go back and complete the 'Scope' tab to enable this question to appear")</f>
        <v>Please go back and complete the 'Scope' tab to enable this question to appear</v>
      </c>
      <c r="D82" s="51" t="s">
        <v>265</v>
      </c>
      <c r="E82" s="243"/>
      <c r="F82" s="29"/>
    </row>
    <row r="83" spans="2:6" ht="45" customHeight="1" x14ac:dyDescent="0.25">
      <c r="B83" s="79">
        <v>29</v>
      </c>
      <c r="C83" s="53" t="str">
        <f>IFERROR("What is the highest cost associated with legal and regulatory damage as caused by a single "&amp;VLOOKUP(Scope!C18,Scope!T:U,2,FALSE)&amp;" incident?","Please go back and complete the 'Scope' tab to enable this question to appear")</f>
        <v>Please go back and complete the 'Scope' tab to enable this question to appear</v>
      </c>
      <c r="D83" s="53" t="s">
        <v>266</v>
      </c>
      <c r="E83" s="244"/>
      <c r="F83" s="30"/>
    </row>
    <row r="84" spans="2:6" ht="30" x14ac:dyDescent="0.25">
      <c r="B84" s="73">
        <v>30</v>
      </c>
      <c r="C84" s="81" t="str">
        <f>IFERROR("What is the typical cost associated with legal and regulatory damage as caused by a single "&amp;VLOOKUP(Scope!C18,Scope!T:U,2,FALSE)&amp;" incident?","Please go back and complete the 'Scope' tab to enable this question to appear")</f>
        <v>Please go back and complete the 'Scope' tab to enable this question to appear</v>
      </c>
      <c r="D84" s="81" t="s">
        <v>232</v>
      </c>
      <c r="E84" s="245"/>
      <c r="F84" s="29"/>
    </row>
    <row r="86" spans="2:6" ht="24.95" customHeight="1" x14ac:dyDescent="0.3">
      <c r="B86" s="48" t="s">
        <v>267</v>
      </c>
    </row>
    <row r="87" spans="2:6" ht="3" customHeight="1" x14ac:dyDescent="0.3">
      <c r="B87" s="49"/>
      <c r="C87" s="25"/>
      <c r="D87" s="25"/>
      <c r="E87" s="25"/>
      <c r="F87" s="25"/>
    </row>
    <row r="88" spans="2:6" ht="60" customHeight="1" x14ac:dyDescent="0.25">
      <c r="B88" s="260" t="s">
        <v>258</v>
      </c>
      <c r="C88" s="260"/>
      <c r="D88" s="260"/>
      <c r="E88" s="260"/>
      <c r="F88" s="260"/>
    </row>
    <row r="89" spans="2:6" ht="15" customHeight="1" x14ac:dyDescent="0.25">
      <c r="B89" s="168" t="s">
        <v>115</v>
      </c>
      <c r="C89" s="168" t="s">
        <v>116</v>
      </c>
      <c r="D89" s="168" t="s">
        <v>117</v>
      </c>
      <c r="E89" s="168" t="s">
        <v>25</v>
      </c>
      <c r="F89" s="168" t="s">
        <v>240</v>
      </c>
    </row>
    <row r="90" spans="2:6" ht="45" x14ac:dyDescent="0.25">
      <c r="B90" s="78">
        <v>31</v>
      </c>
      <c r="C90" s="51" t="str">
        <f>IFERROR("What is the lowest cost associated with competitive advantage damage as caused by a single "&amp;VLOOKUP(Scope!C18,Scope!T:U,2,FALSE)&amp;" incident?","Please go back and complete the 'Scope' tab to enable this question to appear")</f>
        <v>Please go back and complete the 'Scope' tab to enable this question to appear</v>
      </c>
      <c r="D90" s="51" t="s">
        <v>268</v>
      </c>
      <c r="E90" s="249"/>
      <c r="F90" s="29"/>
    </row>
    <row r="91" spans="2:6" ht="45" x14ac:dyDescent="0.25">
      <c r="B91" s="79">
        <v>32</v>
      </c>
      <c r="C91" s="53" t="str">
        <f>IFERROR("What is the highest cost associated with competitive advantage damage as caused by a single "&amp;VLOOKUP(Scope!C18,Scope!T:U,2,FALSE)&amp;" incident?","Please go back and complete the 'Scope' tab to enable this question to appear")</f>
        <v>Please go back and complete the 'Scope' tab to enable this question to appear</v>
      </c>
      <c r="D91" s="53" t="s">
        <v>269</v>
      </c>
      <c r="E91" s="250"/>
      <c r="F91" s="30"/>
    </row>
    <row r="92" spans="2:6" ht="30" customHeight="1" x14ac:dyDescent="0.25">
      <c r="B92" s="73">
        <v>33</v>
      </c>
      <c r="C92" s="81" t="str">
        <f>IFERROR("What is the typical cost associated with competitive advantage damage as caused by a single "&amp;VLOOKUP(Scope!C18,Scope!T:U,2,FALSE)&amp;" incident?","Please go back and complete the 'Scope' tab to enable this question to appear")</f>
        <v>Please go back and complete the 'Scope' tab to enable this question to appear</v>
      </c>
      <c r="D92" s="81" t="s">
        <v>232</v>
      </c>
      <c r="E92" s="251"/>
      <c r="F92" s="75"/>
    </row>
    <row r="94" spans="2:6" ht="24.95" customHeight="1" x14ac:dyDescent="0.3">
      <c r="B94" s="48" t="s">
        <v>270</v>
      </c>
    </row>
    <row r="95" spans="2:6" ht="3" customHeight="1" x14ac:dyDescent="0.25">
      <c r="B95" s="56"/>
      <c r="C95" s="25"/>
      <c r="D95" s="25"/>
      <c r="E95" s="25"/>
      <c r="F95" s="25"/>
    </row>
    <row r="96" spans="2:6" ht="15" customHeight="1" x14ac:dyDescent="0.25">
      <c r="B96" s="260" t="s">
        <v>271</v>
      </c>
      <c r="C96" s="260"/>
      <c r="D96" s="260"/>
      <c r="E96" s="260"/>
      <c r="F96" s="260"/>
    </row>
    <row r="97" spans="2:6" ht="15" customHeight="1" x14ac:dyDescent="0.25">
      <c r="B97" s="168" t="s">
        <v>115</v>
      </c>
      <c r="C97" s="168" t="s">
        <v>116</v>
      </c>
      <c r="D97" s="168" t="s">
        <v>117</v>
      </c>
      <c r="E97" s="168" t="s">
        <v>25</v>
      </c>
      <c r="F97" s="168" t="s">
        <v>240</v>
      </c>
    </row>
    <row r="98" spans="2:6" ht="30" x14ac:dyDescent="0.25">
      <c r="B98" s="78">
        <v>34</v>
      </c>
      <c r="C98" s="51" t="s">
        <v>272</v>
      </c>
      <c r="D98" s="51" t="s">
        <v>568</v>
      </c>
      <c r="E98" s="243">
        <v>0</v>
      </c>
      <c r="F98" s="29"/>
    </row>
    <row r="99" spans="2:6" ht="30" x14ac:dyDescent="0.25">
      <c r="B99" s="79">
        <v>35</v>
      </c>
      <c r="C99" s="53" t="s">
        <v>273</v>
      </c>
      <c r="D99" s="53"/>
      <c r="E99" s="244">
        <v>0</v>
      </c>
      <c r="F99" s="30"/>
    </row>
    <row r="100" spans="2:6" ht="30" x14ac:dyDescent="0.25">
      <c r="B100" s="78">
        <v>36</v>
      </c>
      <c r="C100" s="51" t="s">
        <v>274</v>
      </c>
      <c r="D100" s="51"/>
      <c r="E100" s="243">
        <v>0</v>
      </c>
      <c r="F100" s="29"/>
    </row>
    <row r="101" spans="2:6" ht="30" x14ac:dyDescent="0.25">
      <c r="B101" s="79">
        <v>37</v>
      </c>
      <c r="C101" s="53" t="s">
        <v>275</v>
      </c>
      <c r="D101" s="53"/>
      <c r="E101" s="244">
        <v>0</v>
      </c>
      <c r="F101" s="30"/>
    </row>
    <row r="102" spans="2:6" ht="30" customHeight="1" x14ac:dyDescent="0.25">
      <c r="B102" s="73">
        <v>38</v>
      </c>
      <c r="C102" s="81" t="s">
        <v>276</v>
      </c>
      <c r="D102" s="81" t="s">
        <v>277</v>
      </c>
      <c r="E102" s="245">
        <v>0</v>
      </c>
      <c r="F102" s="75"/>
    </row>
  </sheetData>
  <sheetProtection sheet="1" objects="1" scenarios="1" selectLockedCells="1"/>
  <mergeCells count="13">
    <mergeCell ref="B24:F24"/>
    <mergeCell ref="B32:F32"/>
    <mergeCell ref="B40:F40"/>
    <mergeCell ref="B5:E5"/>
    <mergeCell ref="B8:F8"/>
    <mergeCell ref="B16:F16"/>
    <mergeCell ref="B96:F96"/>
    <mergeCell ref="B64:F64"/>
    <mergeCell ref="B80:F80"/>
    <mergeCell ref="B48:F48"/>
    <mergeCell ref="B56:F56"/>
    <mergeCell ref="B72:F72"/>
    <mergeCell ref="B88:F88"/>
  </mergeCells>
  <dataValidations count="4">
    <dataValidation type="whole" allowBlank="1" showInputMessage="1" showErrorMessage="1" errorTitle="Invalid entry" error="Values input into this cell must be a whole number that is more than 0 (e.g. 3). _x000a__x000a_Entries other than this will cause the tool not to function correctly." sqref="E90:E92 E26:E28 E34:E36 E74:E76 E82:E84" xr:uid="{99A2AA6B-6B3D-4158-9E36-36AE64845E99}">
      <formula1>1</formula1>
      <formula2>9.99999999999999E+36</formula2>
    </dataValidation>
    <dataValidation type="whole" allowBlank="1" showInputMessage="1" showErrorMessage="1" errorTitle="Invalid entry" error="Values input into this cell must be a whole number (e.g. 3). _x000a__x000a_Entries other than this will cause the tool not to function correctly." sqref="E42:E44 E98:E102" xr:uid="{9EFAB688-1154-43FA-9185-9DDBBB7C5CBB}">
      <formula1>0</formula1>
      <formula2>9.99999999999999E+39</formula2>
    </dataValidation>
    <dataValidation type="whole" allowBlank="1" showInputMessage="1" showErrorMessage="1" errorTitle="Invalid entry" error="Values input into this cell must be a whole number (e.g. 3). _x000a__x000a_Entries other than this will cause the tool not to function correctly." sqref="E10:E12" xr:uid="{97696896-61AB-4E4B-A67B-B6889F6118DC}">
      <formula1>0</formula1>
      <formula2>9.99999999999999E+36</formula2>
    </dataValidation>
    <dataValidation type="decimal" allowBlank="1" showInputMessage="1" showErrorMessage="1" errorTitle="Invalid entry" error="Values input into this cell must be at least 1%. _x000a__x000a_Entries other than this will cause the tool not to function correctly." sqref="E18:E20" xr:uid="{B95F4F7E-B6BB-46CE-B0B6-D4A44C330366}">
      <formula1>0.01</formula1>
      <formula2>9.99999999999999E+36</formula2>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69"/>
  <sheetViews>
    <sheetView showGridLines="0" showRowColHeaders="0" zoomScale="160" zoomScaleNormal="160" workbookViewId="0">
      <selection activeCell="B16" sqref="B16"/>
    </sheetView>
  </sheetViews>
  <sheetFormatPr defaultColWidth="16.7109375" defaultRowHeight="15" x14ac:dyDescent="0.25"/>
  <cols>
    <col min="1" max="1" width="25.7109375" customWidth="1"/>
    <col min="2" max="10" width="22.7109375" customWidth="1"/>
    <col min="11" max="11" width="0.85546875" customWidth="1"/>
    <col min="12" max="14" width="22.7109375" customWidth="1"/>
    <col min="25" max="25" width="16.7109375" hidden="1" customWidth="1"/>
  </cols>
  <sheetData>
    <row r="1" spans="1:27" ht="2.25" customHeight="1" x14ac:dyDescent="0.25"/>
    <row r="2" spans="1:27" ht="65.099999999999994" customHeight="1" x14ac:dyDescent="0.25">
      <c r="B2" s="143" t="s">
        <v>278</v>
      </c>
    </row>
    <row r="3" spans="1:27" ht="3" customHeight="1" x14ac:dyDescent="0.25">
      <c r="B3" s="46"/>
    </row>
    <row r="4" spans="1:27" ht="5.0999999999999996" customHeight="1" x14ac:dyDescent="0.25">
      <c r="A4" s="25"/>
      <c r="B4" s="47"/>
      <c r="C4" s="47"/>
      <c r="D4" s="47"/>
      <c r="E4" s="47"/>
      <c r="F4" s="47"/>
      <c r="G4" s="47"/>
      <c r="H4" s="47"/>
    </row>
    <row r="5" spans="1:27" ht="120" customHeight="1" x14ac:dyDescent="0.25">
      <c r="B5" s="259" t="s">
        <v>279</v>
      </c>
      <c r="C5" s="259"/>
      <c r="D5" s="259"/>
      <c r="E5" s="259"/>
      <c r="F5" s="259"/>
      <c r="G5" s="259"/>
      <c r="H5" s="259"/>
    </row>
    <row r="6" spans="1:27" ht="24.95" customHeight="1" x14ac:dyDescent="0.3">
      <c r="B6" s="48" t="s">
        <v>280</v>
      </c>
    </row>
    <row r="7" spans="1:27" ht="3" customHeight="1" x14ac:dyDescent="0.3">
      <c r="B7" s="49"/>
      <c r="C7" s="25"/>
      <c r="D7" s="25"/>
      <c r="E7" s="25"/>
      <c r="F7" s="25"/>
    </row>
    <row r="8" spans="1:27" ht="15" customHeight="1" x14ac:dyDescent="0.4">
      <c r="B8" s="168" t="s">
        <v>281</v>
      </c>
      <c r="C8" s="168" t="s">
        <v>282</v>
      </c>
      <c r="D8" s="168" t="s">
        <v>283</v>
      </c>
      <c r="E8" s="168" t="s">
        <v>284</v>
      </c>
      <c r="F8" s="164" t="s">
        <v>285</v>
      </c>
      <c r="H8" s="84"/>
      <c r="N8" s="85"/>
    </row>
    <row r="9" spans="1:27" ht="15" customHeight="1" x14ac:dyDescent="0.4">
      <c r="B9" s="86" t="str">
        <f>IF(Scope!C9=0,"-",Scope!C9)</f>
        <v>-</v>
      </c>
      <c r="C9" s="157" t="str">
        <f>IF(Scope!C20=0,"-",Scope!C20)</f>
        <v>-</v>
      </c>
      <c r="D9" s="86" t="str">
        <f>IF(Scope!C18="Please select","-",Scope!C18)</f>
        <v>-</v>
      </c>
      <c r="E9" s="87" t="str">
        <f>IF(ROUND((W13*W18*W23),2)=0,"-",ROUND((W13*W18*W23),2))</f>
        <v>-</v>
      </c>
      <c r="F9" s="88" t="str">
        <f>IF(SUM(G42+G71)=0,"-",SUM(G42+G71))</f>
        <v>-</v>
      </c>
      <c r="N9" s="85"/>
    </row>
    <row r="10" spans="1:27" ht="15" customHeight="1" x14ac:dyDescent="0.25">
      <c r="E10" s="89"/>
    </row>
    <row r="11" spans="1:27" ht="24.95" customHeight="1" x14ac:dyDescent="0.35">
      <c r="B11" s="48" t="s">
        <v>286</v>
      </c>
      <c r="M11" s="90"/>
      <c r="N11" s="90"/>
      <c r="O11" s="90"/>
      <c r="P11" s="90"/>
      <c r="Q11" s="90"/>
      <c r="R11" s="90"/>
      <c r="S11" s="90"/>
      <c r="T11" s="90"/>
      <c r="U11" s="90"/>
      <c r="V11" s="90"/>
      <c r="W11" s="90"/>
      <c r="X11" s="90"/>
      <c r="Y11" s="90"/>
      <c r="Z11" s="90"/>
      <c r="AA11" s="90"/>
    </row>
    <row r="12" spans="1:27" ht="2.1" customHeight="1" x14ac:dyDescent="0.35">
      <c r="B12" s="25"/>
      <c r="C12" s="25"/>
      <c r="D12" s="25"/>
      <c r="E12" s="25"/>
      <c r="F12" s="25"/>
      <c r="G12" s="25"/>
      <c r="H12" s="25"/>
      <c r="M12" s="90"/>
      <c r="N12" s="90"/>
      <c r="O12" s="90"/>
      <c r="P12" s="90"/>
      <c r="Q12" s="90"/>
      <c r="R12" s="90"/>
      <c r="S12" s="90"/>
      <c r="T12" s="90"/>
      <c r="U12" s="90"/>
      <c r="V12" s="90"/>
      <c r="W12" s="90"/>
      <c r="X12" s="90"/>
      <c r="Y12" s="90"/>
      <c r="Z12" s="90"/>
      <c r="AA12" s="90"/>
    </row>
    <row r="13" spans="1:27" ht="23.25" x14ac:dyDescent="0.35">
      <c r="A13" s="90"/>
      <c r="B13" s="262" t="str">
        <f>"Past Frequency: "&amp;ROUND(IFERROR(IF($C$16="",(B16+4*(AVERAGE(D16,B16))+D16)/6,(($B$16+(4*$C$16)+$D$16)/6)),0),2)</f>
        <v>Past Frequency: 0</v>
      </c>
      <c r="C13" s="262"/>
      <c r="D13" s="262"/>
      <c r="O13" s="90"/>
      <c r="P13" s="90"/>
      <c r="Q13" s="90"/>
      <c r="R13" s="90"/>
      <c r="S13" s="90"/>
      <c r="T13" s="90"/>
      <c r="U13" s="90"/>
      <c r="V13" s="90"/>
      <c r="W13">
        <f>ROUND(IFERROR(IF($C$16="",(B16+4*(AVERAGE(D16,B16))+D16)/6,(($B$16+(4*$C$16)+$D$16)/6)),0),2)</f>
        <v>0</v>
      </c>
      <c r="X13" s="90"/>
      <c r="Y13" s="90"/>
    </row>
    <row r="14" spans="1:27" ht="3" customHeight="1" x14ac:dyDescent="0.4">
      <c r="A14" s="90"/>
      <c r="B14" s="91"/>
      <c r="C14" s="91"/>
      <c r="D14" s="91"/>
      <c r="O14" s="90"/>
      <c r="P14" s="90"/>
      <c r="Q14" s="90"/>
      <c r="R14" s="90"/>
      <c r="S14" s="90"/>
      <c r="T14" s="90"/>
      <c r="U14" s="90"/>
      <c r="V14" s="90"/>
      <c r="X14" s="90"/>
      <c r="Y14" s="90"/>
    </row>
    <row r="15" spans="1:27" ht="18.75" customHeight="1" x14ac:dyDescent="0.35">
      <c r="A15" s="92"/>
      <c r="B15" s="127" t="s">
        <v>287</v>
      </c>
      <c r="C15" s="128" t="s">
        <v>288</v>
      </c>
      <c r="D15" s="129" t="s">
        <v>289</v>
      </c>
      <c r="O15" s="90"/>
      <c r="P15" s="90"/>
      <c r="Q15" s="90"/>
      <c r="R15" s="90"/>
      <c r="S15" s="92"/>
      <c r="T15" s="92"/>
      <c r="U15" s="92"/>
      <c r="V15" s="92"/>
      <c r="X15" s="92"/>
      <c r="Y15" s="92"/>
    </row>
    <row r="16" spans="1:27" ht="15" customHeight="1" x14ac:dyDescent="0.35">
      <c r="B16" s="160">
        <f>Calculate!E10</f>
        <v>0</v>
      </c>
      <c r="C16" s="160" t="str">
        <f>IF(Calculate!E12="","",Calculate!E12)</f>
        <v/>
      </c>
      <c r="D16" s="160">
        <f>Calculate!E11</f>
        <v>0</v>
      </c>
      <c r="O16" s="92"/>
      <c r="P16" s="92"/>
      <c r="Q16" s="92"/>
      <c r="R16" s="92"/>
      <c r="S16" s="93"/>
      <c r="T16" s="93"/>
      <c r="U16" s="93"/>
      <c r="V16" s="93"/>
      <c r="X16" s="93"/>
      <c r="Y16" s="93"/>
    </row>
    <row r="17" spans="2:25" ht="21" x14ac:dyDescent="0.35">
      <c r="O17" s="93"/>
      <c r="P17" s="93"/>
      <c r="Q17" s="93"/>
      <c r="R17" s="93"/>
      <c r="S17" s="94"/>
      <c r="T17" s="94"/>
      <c r="U17" s="94"/>
      <c r="V17" s="94"/>
      <c r="X17" s="94"/>
      <c r="Y17" s="94"/>
    </row>
    <row r="18" spans="2:25" ht="15.75" x14ac:dyDescent="0.25">
      <c r="B18" s="262" t="str">
        <f>"Refined Frequency: "&amp;(ROUND(IFERROR(IF($C$21="",($B$21+4*(AVERAGE($B$21,$D$21))+$D$21)/6,($B$21+(4*$C$21)+$D$21)/6),1),2))*100&amp;"%"</f>
        <v>Refined Frequency: 100%</v>
      </c>
      <c r="C18" s="262"/>
      <c r="D18" s="262"/>
      <c r="W18">
        <f>ROUND(IFERROR(IF($C$21="",($B$21+4*(AVERAGE($B$21,$D$21))+$D$21)/6,($B$21+(4*$C$21)+$D$21)/6),1),2)</f>
        <v>1</v>
      </c>
    </row>
    <row r="19" spans="2:25" ht="3" customHeight="1" x14ac:dyDescent="0.4">
      <c r="B19" s="91"/>
      <c r="C19" s="91"/>
      <c r="D19" s="91"/>
    </row>
    <row r="20" spans="2:25" ht="18.75" customHeight="1" x14ac:dyDescent="0.25">
      <c r="B20" s="127" t="s">
        <v>290</v>
      </c>
      <c r="C20" s="128" t="s">
        <v>291</v>
      </c>
      <c r="D20" s="129" t="s">
        <v>292</v>
      </c>
    </row>
    <row r="21" spans="2:25" x14ac:dyDescent="0.25">
      <c r="B21" s="106" t="str">
        <f>IF(Calculate!E18=0,"-",Calculate!E18)</f>
        <v>-</v>
      </c>
      <c r="C21" s="106" t="str">
        <f>IF(Calculate!E20=0,"",Calculate!E20)</f>
        <v/>
      </c>
      <c r="D21" s="106" t="str">
        <f>IF(Calculate!E19=0,"-",Calculate!E19)</f>
        <v>-</v>
      </c>
    </row>
    <row r="22" spans="2:25" ht="21" hidden="1" customHeight="1" x14ac:dyDescent="0.25"/>
    <row r="23" spans="2:25" ht="15.75" hidden="1" customHeight="1" x14ac:dyDescent="0.25">
      <c r="B23" s="262" t="str">
        <f>"Threat Capability: "&amp;(ROUND(IFERROR(IF($C$26="",($B$26+4*(AVERAGE($B$26,$D$26))+$D$26)/6,($B$26+(4*$C$26)+$D$26)/6),1),2)*100&amp;"%")</f>
        <v>Threat Capability: 100%</v>
      </c>
      <c r="C23" s="262"/>
      <c r="D23" s="262"/>
      <c r="W23">
        <f>ROUND(IFERROR(IF($C$26="",($B$26+4*(AVERAGE($B$26,$D$26))+$D$26)/6,($B$26+(4*$C$26)+$D$26)/6),1),2)</f>
        <v>1</v>
      </c>
    </row>
    <row r="24" spans="2:25" ht="3" hidden="1" customHeight="1" x14ac:dyDescent="0.4">
      <c r="B24" s="91"/>
      <c r="C24" s="91"/>
      <c r="D24" s="91"/>
    </row>
    <row r="25" spans="2:25" ht="18.75" hidden="1" customHeight="1" x14ac:dyDescent="0.25">
      <c r="B25" s="127" t="s">
        <v>290</v>
      </c>
      <c r="C25" s="128" t="s">
        <v>291</v>
      </c>
      <c r="D25" s="129" t="s">
        <v>292</v>
      </c>
    </row>
    <row r="26" spans="2:25" hidden="1" x14ac:dyDescent="0.25">
      <c r="B26" s="106">
        <v>1</v>
      </c>
      <c r="C26" s="106">
        <v>1</v>
      </c>
      <c r="D26" s="106">
        <v>1</v>
      </c>
    </row>
    <row r="27" spans="2:25" hidden="1" x14ac:dyDescent="0.25">
      <c r="B27" s="95"/>
      <c r="C27" s="95"/>
      <c r="D27" s="95"/>
    </row>
    <row r="28" spans="2:25" x14ac:dyDescent="0.25">
      <c r="B28" s="95"/>
      <c r="C28" s="95"/>
      <c r="D28" s="95"/>
    </row>
    <row r="29" spans="2:25" ht="15.75" x14ac:dyDescent="0.25">
      <c r="B29" s="163" t="s">
        <v>293</v>
      </c>
      <c r="C29" s="96"/>
      <c r="D29" s="96"/>
      <c r="E29" s="261"/>
      <c r="F29" s="261"/>
      <c r="G29" s="261"/>
      <c r="H29" s="162"/>
    </row>
    <row r="30" spans="2:25" ht="3" customHeight="1" x14ac:dyDescent="0.4">
      <c r="B30" s="91"/>
      <c r="C30" s="91"/>
      <c r="D30" s="91"/>
      <c r="E30" s="91"/>
      <c r="F30" s="91"/>
      <c r="G30" s="91"/>
      <c r="H30" s="91"/>
    </row>
    <row r="31" spans="2:25" x14ac:dyDescent="0.25">
      <c r="B31" s="130" t="s">
        <v>294</v>
      </c>
      <c r="C31" s="131" t="s">
        <v>295</v>
      </c>
      <c r="D31" s="132" t="s">
        <v>296</v>
      </c>
      <c r="E31" s="130" t="s">
        <v>297</v>
      </c>
      <c r="F31" s="131" t="s">
        <v>298</v>
      </c>
      <c r="G31" s="132" t="s">
        <v>299</v>
      </c>
      <c r="H31" s="133" t="s">
        <v>300</v>
      </c>
    </row>
    <row r="32" spans="2:25" x14ac:dyDescent="0.25">
      <c r="B32" s="29" t="s">
        <v>301</v>
      </c>
      <c r="C32" s="29"/>
      <c r="D32" s="107">
        <f>Calculate!E26</f>
        <v>0</v>
      </c>
      <c r="E32" s="107" t="str">
        <f>IF(Calculate!E28="","",Calculate!E28)</f>
        <v/>
      </c>
      <c r="F32" s="107">
        <f>Calculate!E27</f>
        <v>0</v>
      </c>
      <c r="G32" s="107" t="str">
        <f>IF(IFERROR(IF(E32="",((D32+(4*(AVERAGE(D32,F32)))+F32)/6),((D32+(4*E32)+F32)/6)),0)=0,"",IFERROR(IF(E32="",((D32+(4*(AVERAGE(D32,F32)))+F32)/6),((D32+(4*E32)+F32)/6)),0))</f>
        <v/>
      </c>
      <c r="H32" s="29"/>
    </row>
    <row r="33" spans="2:8" x14ac:dyDescent="0.25">
      <c r="B33" s="30" t="s">
        <v>25</v>
      </c>
      <c r="C33" s="30"/>
      <c r="D33" s="108">
        <f>Calculate!E34</f>
        <v>0</v>
      </c>
      <c r="E33" s="108" t="str">
        <f>IF(Calculate!E36="","",Calculate!E36)</f>
        <v/>
      </c>
      <c r="F33" s="108">
        <f>Calculate!E35</f>
        <v>0</v>
      </c>
      <c r="G33" s="108" t="str">
        <f t="shared" ref="G33:G41" si="0">IF(IFERROR(IF(E33="",((D33+(4*(AVERAGE(D33,F33)))+F33)/6),((D33+(4*E33)+F33)/6)),0)=0,"",IFERROR(IF(E33="",((D33+(4*(AVERAGE(D33,F33)))+F33)/6),((D33+(4*E33)+F33)/6)),0))</f>
        <v/>
      </c>
      <c r="H33" s="30"/>
    </row>
    <row r="34" spans="2:8" x14ac:dyDescent="0.25">
      <c r="B34" s="29" t="s">
        <v>302</v>
      </c>
      <c r="C34" s="29"/>
      <c r="D34" s="107">
        <f>Calculate!E42</f>
        <v>0</v>
      </c>
      <c r="E34" s="107" t="str">
        <f>IF(Calculate!E44="","",Calculate!E44)</f>
        <v/>
      </c>
      <c r="F34" s="107">
        <f>Calculate!E43</f>
        <v>0</v>
      </c>
      <c r="G34" s="107" t="str">
        <f t="shared" si="0"/>
        <v/>
      </c>
      <c r="H34" s="29"/>
    </row>
    <row r="35" spans="2:8" x14ac:dyDescent="0.25">
      <c r="B35" s="30"/>
      <c r="C35" s="30"/>
      <c r="D35" s="108"/>
      <c r="E35" s="108"/>
      <c r="F35" s="108"/>
      <c r="G35" s="108" t="str">
        <f t="shared" si="0"/>
        <v/>
      </c>
      <c r="H35" s="30"/>
    </row>
    <row r="36" spans="2:8" x14ac:dyDescent="0.25">
      <c r="B36" s="29"/>
      <c r="C36" s="29"/>
      <c r="D36" s="107"/>
      <c r="E36" s="107"/>
      <c r="F36" s="107"/>
      <c r="G36" s="107" t="str">
        <f t="shared" si="0"/>
        <v/>
      </c>
      <c r="H36" s="29"/>
    </row>
    <row r="37" spans="2:8" x14ac:dyDescent="0.25">
      <c r="B37" s="30"/>
      <c r="C37" s="30"/>
      <c r="D37" s="108"/>
      <c r="E37" s="108"/>
      <c r="F37" s="108"/>
      <c r="G37" s="108" t="str">
        <f t="shared" si="0"/>
        <v/>
      </c>
      <c r="H37" s="30"/>
    </row>
    <row r="38" spans="2:8" x14ac:dyDescent="0.25">
      <c r="B38" s="29"/>
      <c r="C38" s="29"/>
      <c r="D38" s="107"/>
      <c r="E38" s="107"/>
      <c r="F38" s="107"/>
      <c r="G38" s="107" t="str">
        <f t="shared" si="0"/>
        <v/>
      </c>
      <c r="H38" s="29"/>
    </row>
    <row r="39" spans="2:8" x14ac:dyDescent="0.25">
      <c r="B39" s="30"/>
      <c r="C39" s="30"/>
      <c r="D39" s="108"/>
      <c r="E39" s="108"/>
      <c r="F39" s="108"/>
      <c r="G39" s="108" t="str">
        <f t="shared" si="0"/>
        <v/>
      </c>
      <c r="H39" s="30"/>
    </row>
    <row r="40" spans="2:8" x14ac:dyDescent="0.25">
      <c r="B40" s="29"/>
      <c r="C40" s="29"/>
      <c r="D40" s="107"/>
      <c r="E40" s="107"/>
      <c r="F40" s="107"/>
      <c r="G40" s="107" t="str">
        <f t="shared" si="0"/>
        <v/>
      </c>
      <c r="H40" s="29"/>
    </row>
    <row r="41" spans="2:8" x14ac:dyDescent="0.25">
      <c r="B41" s="30"/>
      <c r="C41" s="30"/>
      <c r="D41" s="108"/>
      <c r="E41" s="108"/>
      <c r="F41" s="108"/>
      <c r="G41" s="108" t="str">
        <f t="shared" si="0"/>
        <v/>
      </c>
      <c r="H41" s="30"/>
    </row>
    <row r="42" spans="2:8" ht="18.75" customHeight="1" x14ac:dyDescent="0.25">
      <c r="B42" s="95"/>
      <c r="C42" s="95"/>
      <c r="D42" s="95"/>
      <c r="F42" s="131" t="s">
        <v>303</v>
      </c>
      <c r="G42" s="137">
        <f>ROUND(SUM(G32:G41),2)</f>
        <v>0</v>
      </c>
    </row>
    <row r="43" spans="2:8" ht="18.75" customHeight="1" x14ac:dyDescent="0.25">
      <c r="B43" s="95"/>
      <c r="C43" s="95"/>
      <c r="D43" s="95"/>
    </row>
    <row r="44" spans="2:8" ht="21" customHeight="1" x14ac:dyDescent="0.25">
      <c r="B44" s="163" t="s">
        <v>304</v>
      </c>
    </row>
    <row r="45" spans="2:8" ht="3" customHeight="1" x14ac:dyDescent="0.25">
      <c r="B45" s="97"/>
      <c r="C45" s="97"/>
      <c r="D45" s="97"/>
      <c r="E45" s="25"/>
      <c r="F45" s="25"/>
    </row>
    <row r="46" spans="2:8" ht="18.75" customHeight="1" x14ac:dyDescent="0.25">
      <c r="B46" s="130" t="s">
        <v>8</v>
      </c>
      <c r="C46" s="131" t="s">
        <v>290</v>
      </c>
      <c r="D46" s="132" t="s">
        <v>291</v>
      </c>
      <c r="E46" s="130" t="s">
        <v>292</v>
      </c>
      <c r="F46" s="134" t="s">
        <v>305</v>
      </c>
    </row>
    <row r="47" spans="2:8" ht="15" customHeight="1" x14ac:dyDescent="0.25">
      <c r="B47" s="29" t="s">
        <v>306</v>
      </c>
      <c r="C47" s="34">
        <f>Calculate!E50</f>
        <v>0</v>
      </c>
      <c r="D47" s="34" t="str">
        <f>IF(Calculate!E52="","",Calculate!E52)</f>
        <v/>
      </c>
      <c r="E47" s="34">
        <f>Calculate!E51</f>
        <v>0</v>
      </c>
      <c r="F47" s="34" t="str">
        <f>IF(IFERROR(IF(D47="",((C47+(4*(AVERAGE(C47,E47)))+E47)/6),((C47+(4*D47)+E47)/6)),0)=0,"",IFERROR(IF(D47="",((C47+(4*(AVERAGE(C47,E47)))+E47)/6),((C47+(4*D47)+E47)/6)),0))</f>
        <v/>
      </c>
    </row>
    <row r="48" spans="2:8" ht="15" customHeight="1" x14ac:dyDescent="0.25">
      <c r="B48" s="30" t="s">
        <v>307</v>
      </c>
      <c r="C48" s="33">
        <f>Calculate!E58</f>
        <v>0</v>
      </c>
      <c r="D48" s="33" t="str">
        <f>IF(Calculate!E60="","",Calculate!E60)</f>
        <v/>
      </c>
      <c r="E48" s="33">
        <f>Calculate!E59</f>
        <v>0</v>
      </c>
      <c r="F48" s="33" t="str">
        <f>IF(IFERROR(IF(D48="",((C48+(4*(AVERAGE(C48,E48)))+E48)/6),((C48+(4*D48)+E48)/6)),0)=0,"",IFERROR(IF(D48="",((C48+(4*(AVERAGE(C48,E48)))+E48)/6),((C48+(4*D48)+E48)/6)),0))</f>
        <v/>
      </c>
    </row>
    <row r="49" spans="2:8" ht="15" customHeight="1" x14ac:dyDescent="0.25">
      <c r="B49" s="29" t="s">
        <v>308</v>
      </c>
      <c r="C49" s="34">
        <f>Calculate!E66</f>
        <v>0</v>
      </c>
      <c r="D49" s="34" t="str">
        <f>IF(Calculate!E68="","",Calculate!E68)</f>
        <v/>
      </c>
      <c r="E49" s="34">
        <f>Calculate!E67</f>
        <v>0</v>
      </c>
      <c r="F49" s="34" t="str">
        <f>IF(IFERROR(IF(D49="",((C49+(4*(AVERAGE(C49,E49)))+E49)/6),((C49+(4*D49)+E49)/6)),0)=0,"",IFERROR(IF(D49="",((C49+(4*(AVERAGE(C49,E49)))+E49)/6),((C49+(4*D49)+E49)/6)),0))</f>
        <v/>
      </c>
    </row>
    <row r="50" spans="2:8" x14ac:dyDescent="0.25">
      <c r="B50" s="30"/>
      <c r="C50" s="30"/>
      <c r="D50" s="43"/>
      <c r="E50" s="43"/>
      <c r="F50" s="43" t="str">
        <f t="shared" ref="F50:F56" si="1">IF(IFERROR(IF(D50="",((C50+(4*(AVERAGE(C50,E50)))+E50)/6),((C50+(4*D50)+E50)/6)),0)=0,"",IFERROR(IF(D50="",((C50+(4*(AVERAGE(C50,E50)))+E50)/6),((C50+(4*D50)+E50)/6)),0))</f>
        <v/>
      </c>
    </row>
    <row r="51" spans="2:8" x14ac:dyDescent="0.25">
      <c r="B51" s="29"/>
      <c r="C51" s="29"/>
      <c r="D51" s="42"/>
      <c r="E51" s="42"/>
      <c r="F51" s="42" t="str">
        <f t="shared" si="1"/>
        <v/>
      </c>
    </row>
    <row r="52" spans="2:8" x14ac:dyDescent="0.25">
      <c r="B52" s="30"/>
      <c r="C52" s="30"/>
      <c r="D52" s="43"/>
      <c r="E52" s="43"/>
      <c r="F52" s="43" t="str">
        <f t="shared" si="1"/>
        <v/>
      </c>
    </row>
    <row r="53" spans="2:8" x14ac:dyDescent="0.25">
      <c r="B53" s="29"/>
      <c r="C53" s="29"/>
      <c r="D53" s="42"/>
      <c r="E53" s="42"/>
      <c r="F53" s="42" t="str">
        <f t="shared" si="1"/>
        <v/>
      </c>
    </row>
    <row r="54" spans="2:8" x14ac:dyDescent="0.25">
      <c r="B54" s="30"/>
      <c r="C54" s="30"/>
      <c r="D54" s="43"/>
      <c r="E54" s="43"/>
      <c r="F54" s="43" t="str">
        <f t="shared" si="1"/>
        <v/>
      </c>
    </row>
    <row r="55" spans="2:8" x14ac:dyDescent="0.25">
      <c r="B55" s="29"/>
      <c r="C55" s="29"/>
      <c r="D55" s="42"/>
      <c r="E55" s="42"/>
      <c r="F55" s="42" t="str">
        <f t="shared" si="1"/>
        <v/>
      </c>
    </row>
    <row r="56" spans="2:8" x14ac:dyDescent="0.25">
      <c r="B56" s="30"/>
      <c r="C56" s="30"/>
      <c r="D56" s="43"/>
      <c r="E56" s="43"/>
      <c r="F56" s="43" t="str">
        <f t="shared" si="1"/>
        <v/>
      </c>
    </row>
    <row r="57" spans="2:8" x14ac:dyDescent="0.25">
      <c r="B57" s="95"/>
      <c r="C57" s="95"/>
      <c r="D57" s="95"/>
    </row>
    <row r="58" spans="2:8" ht="15.75" x14ac:dyDescent="0.25">
      <c r="B58" s="163" t="s">
        <v>309</v>
      </c>
      <c r="C58" s="95"/>
      <c r="D58" s="95"/>
    </row>
    <row r="59" spans="2:8" ht="3" customHeight="1" x14ac:dyDescent="0.25">
      <c r="B59" s="97"/>
      <c r="C59" s="97"/>
      <c r="D59" s="97"/>
      <c r="E59" s="97"/>
      <c r="F59" s="25"/>
      <c r="G59" s="25"/>
      <c r="H59" s="97"/>
    </row>
    <row r="60" spans="2:8" ht="18.75" customHeight="1" x14ac:dyDescent="0.25">
      <c r="B60" s="130" t="s">
        <v>8</v>
      </c>
      <c r="C60" s="132" t="s">
        <v>296</v>
      </c>
      <c r="D60" s="130" t="s">
        <v>297</v>
      </c>
      <c r="E60" s="131" t="s">
        <v>298</v>
      </c>
      <c r="F60" s="130" t="s">
        <v>310</v>
      </c>
      <c r="G60" s="131" t="s">
        <v>311</v>
      </c>
      <c r="H60" s="134" t="s">
        <v>118</v>
      </c>
    </row>
    <row r="61" spans="2:8" x14ac:dyDescent="0.25">
      <c r="B61" s="29" t="s">
        <v>306</v>
      </c>
      <c r="C61" s="109">
        <f>Calculate!E74</f>
        <v>0</v>
      </c>
      <c r="D61" s="109">
        <f>Calculate!E76</f>
        <v>0</v>
      </c>
      <c r="E61" s="109">
        <f>Calculate!E75</f>
        <v>0</v>
      </c>
      <c r="F61" s="109">
        <f t="shared" ref="F61:F70" si="2">IF(C61="","",IF(SUM(C61:E61)=0,0,IF(IFERROR(IF(D61="",((C61+(4*(AVERAGE(C61,E61)))+E61)/6),((C61+(4*D61)+E61)/6)),0)=0,"",IFERROR(IF(D61="",((C61+(4*(AVERAGE(C61,E61)))+E61)/6),((C61+(4*D61)+E61)/6)),0))))</f>
        <v>0</v>
      </c>
      <c r="G61" s="109">
        <f t="shared" ref="G61:G70" si="3">IF(C61="","",IF(SUM(C61:E61)=0,0,IF(IFERROR(F47*(IF(D61="",((C61+(4*(AVERAGE(C61,E61)))+E61)/6),((C61+(4*D61)+E61)/6))),0)=0,"",IFERROR(F47*(IF(D61="",((C61+(4*(AVERAGE(C61,E61)))+E61)/6),((C61+(4*D61)+E61)/6))),0))))</f>
        <v>0</v>
      </c>
      <c r="H61" s="29"/>
    </row>
    <row r="62" spans="2:8" x14ac:dyDescent="0.25">
      <c r="B62" s="30" t="s">
        <v>307</v>
      </c>
      <c r="C62" s="110">
        <f>Calculate!E82</f>
        <v>0</v>
      </c>
      <c r="D62" s="110">
        <f>Calculate!E84</f>
        <v>0</v>
      </c>
      <c r="E62" s="110">
        <f>Calculate!E83</f>
        <v>0</v>
      </c>
      <c r="F62" s="110">
        <f t="shared" si="2"/>
        <v>0</v>
      </c>
      <c r="G62" s="110">
        <f t="shared" si="3"/>
        <v>0</v>
      </c>
      <c r="H62" s="30"/>
    </row>
    <row r="63" spans="2:8" ht="15" customHeight="1" x14ac:dyDescent="0.25">
      <c r="B63" s="29" t="s">
        <v>308</v>
      </c>
      <c r="C63" s="109">
        <f>Calculate!E90</f>
        <v>0</v>
      </c>
      <c r="D63" s="109">
        <f>Calculate!E92</f>
        <v>0</v>
      </c>
      <c r="E63" s="109">
        <f>Calculate!E91</f>
        <v>0</v>
      </c>
      <c r="F63" s="109">
        <f t="shared" si="2"/>
        <v>0</v>
      </c>
      <c r="G63" s="109">
        <f t="shared" si="3"/>
        <v>0</v>
      </c>
      <c r="H63" s="29"/>
    </row>
    <row r="64" spans="2:8" x14ac:dyDescent="0.25">
      <c r="B64" s="30" t="str">
        <f t="shared" ref="B64:B70" si="4">IF(B50="","",B50)</f>
        <v/>
      </c>
      <c r="C64" s="110"/>
      <c r="D64" s="110"/>
      <c r="E64" s="110"/>
      <c r="F64" s="110" t="str">
        <f t="shared" si="2"/>
        <v/>
      </c>
      <c r="G64" s="110" t="str">
        <f t="shared" si="3"/>
        <v/>
      </c>
      <c r="H64" s="30"/>
    </row>
    <row r="65" spans="2:8" x14ac:dyDescent="0.25">
      <c r="B65" s="29" t="str">
        <f t="shared" si="4"/>
        <v/>
      </c>
      <c r="C65" s="109"/>
      <c r="D65" s="109"/>
      <c r="E65" s="109"/>
      <c r="F65" s="109" t="str">
        <f t="shared" si="2"/>
        <v/>
      </c>
      <c r="G65" s="109" t="str">
        <f t="shared" si="3"/>
        <v/>
      </c>
      <c r="H65" s="29"/>
    </row>
    <row r="66" spans="2:8" x14ac:dyDescent="0.25">
      <c r="B66" s="30" t="str">
        <f t="shared" si="4"/>
        <v/>
      </c>
      <c r="C66" s="110"/>
      <c r="D66" s="110"/>
      <c r="E66" s="110"/>
      <c r="F66" s="110" t="str">
        <f t="shared" si="2"/>
        <v/>
      </c>
      <c r="G66" s="110" t="str">
        <f t="shared" si="3"/>
        <v/>
      </c>
      <c r="H66" s="30"/>
    </row>
    <row r="67" spans="2:8" x14ac:dyDescent="0.25">
      <c r="B67" s="29" t="str">
        <f t="shared" si="4"/>
        <v/>
      </c>
      <c r="C67" s="109"/>
      <c r="D67" s="109"/>
      <c r="E67" s="109"/>
      <c r="F67" s="109" t="str">
        <f t="shared" si="2"/>
        <v/>
      </c>
      <c r="G67" s="109" t="str">
        <f t="shared" si="3"/>
        <v/>
      </c>
      <c r="H67" s="29"/>
    </row>
    <row r="68" spans="2:8" x14ac:dyDescent="0.25">
      <c r="B68" s="30" t="str">
        <f t="shared" si="4"/>
        <v/>
      </c>
      <c r="C68" s="110"/>
      <c r="D68" s="110"/>
      <c r="E68" s="110"/>
      <c r="F68" s="110" t="str">
        <f t="shared" si="2"/>
        <v/>
      </c>
      <c r="G68" s="110" t="str">
        <f t="shared" si="3"/>
        <v/>
      </c>
      <c r="H68" s="30"/>
    </row>
    <row r="69" spans="2:8" x14ac:dyDescent="0.25">
      <c r="B69" s="29" t="str">
        <f t="shared" si="4"/>
        <v/>
      </c>
      <c r="C69" s="109"/>
      <c r="D69" s="109"/>
      <c r="E69" s="109"/>
      <c r="F69" s="109" t="str">
        <f t="shared" si="2"/>
        <v/>
      </c>
      <c r="G69" s="109" t="str">
        <f t="shared" si="3"/>
        <v/>
      </c>
      <c r="H69" s="29"/>
    </row>
    <row r="70" spans="2:8" x14ac:dyDescent="0.25">
      <c r="B70" s="30" t="str">
        <f t="shared" si="4"/>
        <v/>
      </c>
      <c r="C70" s="110"/>
      <c r="D70" s="110"/>
      <c r="E70" s="110"/>
      <c r="F70" s="110" t="str">
        <f t="shared" si="2"/>
        <v/>
      </c>
      <c r="G70" s="110" t="str">
        <f t="shared" si="3"/>
        <v/>
      </c>
      <c r="H70" s="30"/>
    </row>
    <row r="71" spans="2:8" ht="18.75" customHeight="1" x14ac:dyDescent="0.25">
      <c r="F71" s="131" t="s">
        <v>312</v>
      </c>
      <c r="G71" s="137">
        <f>ROUND(SUM(G61:G70),2)</f>
        <v>0</v>
      </c>
    </row>
    <row r="72" spans="2:8" ht="15.75" x14ac:dyDescent="0.25">
      <c r="C72" s="96"/>
    </row>
    <row r="75" spans="2:8" ht="3" customHeight="1" x14ac:dyDescent="0.25"/>
    <row r="90" ht="3" customHeight="1" x14ac:dyDescent="0.25"/>
    <row r="91" ht="18.75" customHeight="1" x14ac:dyDescent="0.25"/>
    <row r="103" spans="4:6" hidden="1" x14ac:dyDescent="0.25">
      <c r="D103" s="95"/>
    </row>
    <row r="104" spans="4:6" hidden="1" x14ac:dyDescent="0.25">
      <c r="D104" s="95"/>
    </row>
    <row r="105" spans="4:6" ht="18.75" hidden="1" x14ac:dyDescent="0.25">
      <c r="D105" s="98" t="s">
        <v>313</v>
      </c>
      <c r="E105" s="98" t="s">
        <v>314</v>
      </c>
      <c r="F105" s="98" t="s">
        <v>92</v>
      </c>
    </row>
    <row r="106" spans="4:6" hidden="1" x14ac:dyDescent="0.25">
      <c r="D106" s="95"/>
    </row>
    <row r="107" spans="4:6" hidden="1" x14ac:dyDescent="0.25">
      <c r="D107" s="83">
        <v>1</v>
      </c>
      <c r="E107" s="83">
        <v>3</v>
      </c>
      <c r="F107" s="83">
        <v>7</v>
      </c>
    </row>
    <row r="108" spans="4:6" hidden="1" x14ac:dyDescent="0.25"/>
    <row r="109" spans="4:6" hidden="1" x14ac:dyDescent="0.25">
      <c r="D109" s="82">
        <v>0.35</v>
      </c>
      <c r="E109" s="82">
        <v>0.4</v>
      </c>
      <c r="F109" s="82">
        <v>0.5</v>
      </c>
    </row>
    <row r="110" spans="4:6" hidden="1" x14ac:dyDescent="0.25"/>
    <row r="111" spans="4:6" hidden="1" x14ac:dyDescent="0.25">
      <c r="D111" s="82">
        <v>0.26</v>
      </c>
      <c r="E111" s="82">
        <v>0.45</v>
      </c>
      <c r="F111" s="82">
        <v>0.63</v>
      </c>
    </row>
    <row r="112" spans="4:6" hidden="1" x14ac:dyDescent="0.25"/>
    <row r="113" spans="4:12" hidden="1" x14ac:dyDescent="0.25">
      <c r="D113" s="28" t="s">
        <v>315</v>
      </c>
      <c r="E113" s="28" t="s">
        <v>295</v>
      </c>
      <c r="F113" s="99">
        <v>75.400000000000006</v>
      </c>
      <c r="G113" s="99">
        <v>127</v>
      </c>
      <c r="H113" s="99">
        <v>250</v>
      </c>
      <c r="J113" s="100" t="s">
        <v>300</v>
      </c>
    </row>
    <row r="114" spans="4:12" hidden="1" x14ac:dyDescent="0.25">
      <c r="D114" s="28" t="s">
        <v>316</v>
      </c>
      <c r="E114" s="28" t="s">
        <v>317</v>
      </c>
      <c r="F114" s="99">
        <v>2000</v>
      </c>
      <c r="G114" s="99">
        <v>2500</v>
      </c>
      <c r="H114" s="99">
        <v>2750</v>
      </c>
      <c r="J114" s="100" t="s">
        <v>300</v>
      </c>
    </row>
    <row r="115" spans="4:12" hidden="1" x14ac:dyDescent="0.25">
      <c r="D115" s="28" t="s">
        <v>318</v>
      </c>
      <c r="E115" s="28" t="s">
        <v>319</v>
      </c>
      <c r="F115" s="99">
        <v>50</v>
      </c>
      <c r="G115" s="99">
        <v>90</v>
      </c>
      <c r="H115" s="99">
        <v>125</v>
      </c>
      <c r="J115" s="100" t="s">
        <v>300</v>
      </c>
    </row>
    <row r="116" spans="4:12" hidden="1" x14ac:dyDescent="0.25">
      <c r="D116" s="28"/>
      <c r="E116" s="28"/>
      <c r="F116" s="101"/>
      <c r="G116" s="101"/>
      <c r="H116" s="101"/>
      <c r="J116" s="100"/>
    </row>
    <row r="117" spans="4:12" hidden="1" x14ac:dyDescent="0.25">
      <c r="D117" s="28"/>
      <c r="E117" s="28"/>
      <c r="F117" s="101"/>
      <c r="G117" s="101"/>
      <c r="H117" s="101"/>
      <c r="J117" s="100"/>
    </row>
    <row r="118" spans="4:12" hidden="1" x14ac:dyDescent="0.25">
      <c r="D118" s="28"/>
      <c r="E118" s="28"/>
      <c r="F118" s="101"/>
      <c r="G118" s="101"/>
      <c r="H118" s="101"/>
      <c r="J118" s="100"/>
    </row>
    <row r="119" spans="4:12" hidden="1" x14ac:dyDescent="0.25">
      <c r="D119" s="28"/>
      <c r="E119" s="28"/>
      <c r="F119" s="101"/>
      <c r="G119" s="101"/>
      <c r="H119" s="101"/>
      <c r="J119" s="100"/>
      <c r="L119" s="102"/>
    </row>
    <row r="120" spans="4:12" hidden="1" x14ac:dyDescent="0.25">
      <c r="D120" s="28"/>
      <c r="E120" s="28"/>
      <c r="F120" s="101"/>
      <c r="G120" s="101"/>
      <c r="H120" s="101"/>
      <c r="J120" s="100"/>
    </row>
    <row r="121" spans="4:12" hidden="1" x14ac:dyDescent="0.25">
      <c r="D121" s="28"/>
      <c r="E121" s="28"/>
      <c r="F121" s="101"/>
      <c r="G121" s="101"/>
      <c r="H121" s="101"/>
      <c r="J121" s="100"/>
    </row>
    <row r="122" spans="4:12" hidden="1" x14ac:dyDescent="0.25">
      <c r="D122" s="28"/>
      <c r="E122" s="28"/>
      <c r="F122" s="101"/>
      <c r="G122" s="101"/>
      <c r="H122" s="101"/>
      <c r="J122" s="100"/>
    </row>
    <row r="123" spans="4:12" hidden="1" x14ac:dyDescent="0.25"/>
    <row r="124" spans="4:12" hidden="1" x14ac:dyDescent="0.25"/>
    <row r="125" spans="4:12" hidden="1" x14ac:dyDescent="0.25">
      <c r="D125" s="28" t="s">
        <v>320</v>
      </c>
      <c r="E125" s="100">
        <v>0.26</v>
      </c>
      <c r="F125" s="103">
        <v>0.53</v>
      </c>
      <c r="G125" s="103">
        <v>0.8</v>
      </c>
    </row>
    <row r="126" spans="4:12" hidden="1" x14ac:dyDescent="0.25">
      <c r="D126" s="28" t="s">
        <v>50</v>
      </c>
      <c r="E126" s="100">
        <v>0.35</v>
      </c>
      <c r="F126" s="103">
        <v>0.5</v>
      </c>
      <c r="G126" s="103">
        <v>0.65</v>
      </c>
    </row>
    <row r="127" spans="4:12" hidden="1" x14ac:dyDescent="0.25">
      <c r="D127" s="28" t="s">
        <v>321</v>
      </c>
      <c r="E127" s="100">
        <v>0</v>
      </c>
      <c r="F127" s="103">
        <v>0.15</v>
      </c>
      <c r="G127" s="103">
        <v>0.33</v>
      </c>
    </row>
    <row r="128" spans="4:12" hidden="1" x14ac:dyDescent="0.25">
      <c r="D128" s="28"/>
      <c r="E128" s="100"/>
      <c r="F128" s="103"/>
      <c r="G128" s="103"/>
    </row>
    <row r="129" spans="4:10" hidden="1" x14ac:dyDescent="0.25">
      <c r="D129" s="28"/>
      <c r="E129" s="100"/>
      <c r="F129" s="103"/>
      <c r="G129" s="103"/>
    </row>
    <row r="130" spans="4:10" hidden="1" x14ac:dyDescent="0.25">
      <c r="D130" s="28"/>
      <c r="E130" s="100"/>
      <c r="F130" s="103"/>
      <c r="G130" s="103"/>
    </row>
    <row r="131" spans="4:10" hidden="1" x14ac:dyDescent="0.25">
      <c r="D131" s="28"/>
      <c r="E131" s="100"/>
      <c r="F131" s="103"/>
      <c r="G131" s="103"/>
    </row>
    <row r="132" spans="4:10" hidden="1" x14ac:dyDescent="0.25">
      <c r="D132" s="28"/>
      <c r="E132" s="100"/>
      <c r="F132" s="103"/>
      <c r="G132" s="103"/>
    </row>
    <row r="133" spans="4:10" hidden="1" x14ac:dyDescent="0.25">
      <c r="D133" s="28"/>
      <c r="E133" s="100"/>
      <c r="F133" s="103"/>
      <c r="G133" s="103"/>
    </row>
    <row r="134" spans="4:10" hidden="1" x14ac:dyDescent="0.25">
      <c r="D134" s="28"/>
      <c r="E134" s="100"/>
      <c r="F134" s="103"/>
      <c r="G134" s="103"/>
    </row>
    <row r="135" spans="4:10" hidden="1" x14ac:dyDescent="0.25">
      <c r="E135" s="104"/>
      <c r="F135" s="104"/>
      <c r="G135" s="104"/>
    </row>
    <row r="136" spans="4:10" hidden="1" x14ac:dyDescent="0.25">
      <c r="E136" s="105">
        <v>26</v>
      </c>
      <c r="F136" s="105">
        <v>59</v>
      </c>
      <c r="G136" s="99">
        <v>130</v>
      </c>
      <c r="J136" s="28"/>
    </row>
    <row r="137" spans="4:10" hidden="1" x14ac:dyDescent="0.25">
      <c r="E137" s="105">
        <v>500</v>
      </c>
      <c r="F137" s="105">
        <v>1200</v>
      </c>
      <c r="G137" s="99">
        <v>2500</v>
      </c>
      <c r="J137" s="28"/>
    </row>
    <row r="138" spans="4:10" hidden="1" x14ac:dyDescent="0.25">
      <c r="E138" s="105">
        <v>2000</v>
      </c>
      <c r="F138" s="105">
        <v>3000</v>
      </c>
      <c r="G138" s="99">
        <v>5000</v>
      </c>
      <c r="J138" s="28"/>
    </row>
    <row r="139" spans="4:10" hidden="1" x14ac:dyDescent="0.25">
      <c r="E139" s="105"/>
      <c r="F139" s="105"/>
      <c r="G139" s="99"/>
      <c r="J139" s="28"/>
    </row>
    <row r="140" spans="4:10" hidden="1" x14ac:dyDescent="0.25">
      <c r="E140" s="105"/>
      <c r="F140" s="105"/>
      <c r="G140" s="99"/>
      <c r="J140" s="28"/>
    </row>
    <row r="141" spans="4:10" hidden="1" x14ac:dyDescent="0.25">
      <c r="E141" s="105"/>
      <c r="F141" s="105"/>
      <c r="G141" s="99"/>
      <c r="J141" s="28"/>
    </row>
    <row r="142" spans="4:10" hidden="1" x14ac:dyDescent="0.25">
      <c r="E142" s="105"/>
      <c r="F142" s="105"/>
      <c r="G142" s="99"/>
      <c r="J142" s="28"/>
    </row>
    <row r="143" spans="4:10" hidden="1" x14ac:dyDescent="0.25">
      <c r="E143" s="105"/>
      <c r="F143" s="105"/>
      <c r="G143" s="99"/>
      <c r="J143" s="28"/>
    </row>
    <row r="144" spans="4:10" hidden="1" x14ac:dyDescent="0.25">
      <c r="E144" s="105"/>
      <c r="F144" s="105"/>
      <c r="G144" s="99"/>
      <c r="J144" s="28"/>
    </row>
    <row r="145" spans="4:10" hidden="1" x14ac:dyDescent="0.25">
      <c r="E145" s="105"/>
      <c r="F145" s="105"/>
      <c r="G145" s="99"/>
      <c r="J145" s="28"/>
    </row>
    <row r="146" spans="4:10" hidden="1" x14ac:dyDescent="0.25">
      <c r="E146" s="104"/>
      <c r="F146" s="104"/>
      <c r="G146" s="104"/>
    </row>
    <row r="147" spans="4:10" hidden="1" x14ac:dyDescent="0.25">
      <c r="D147" s="28" t="s">
        <v>322</v>
      </c>
      <c r="E147" s="100">
        <v>0.03</v>
      </c>
      <c r="F147" s="100">
        <v>0.06</v>
      </c>
      <c r="G147" s="100">
        <v>0.19</v>
      </c>
      <c r="J147" s="105"/>
    </row>
    <row r="148" spans="4:10" hidden="1" x14ac:dyDescent="0.25">
      <c r="D148" s="28" t="s">
        <v>323</v>
      </c>
      <c r="E148" s="100">
        <v>0.12</v>
      </c>
      <c r="F148" s="100">
        <v>0.14000000000000001</v>
      </c>
      <c r="G148" s="100">
        <v>0.23</v>
      </c>
      <c r="J148" s="105"/>
    </row>
    <row r="149" spans="4:10" hidden="1" x14ac:dyDescent="0.25">
      <c r="D149" s="28" t="s">
        <v>324</v>
      </c>
      <c r="E149" s="100">
        <v>0.02</v>
      </c>
      <c r="F149" s="100">
        <v>0.03</v>
      </c>
      <c r="G149" s="100">
        <v>0.05</v>
      </c>
      <c r="J149" s="105"/>
    </row>
    <row r="150" spans="4:10" hidden="1" x14ac:dyDescent="0.25">
      <c r="D150" s="28" t="s">
        <v>325</v>
      </c>
      <c r="E150" s="100">
        <v>0.12</v>
      </c>
      <c r="F150" s="100">
        <v>0.15</v>
      </c>
      <c r="G150" s="100">
        <v>0.16</v>
      </c>
      <c r="J150" s="105"/>
    </row>
    <row r="151" spans="4:10" hidden="1" x14ac:dyDescent="0.25">
      <c r="D151" s="28"/>
      <c r="E151" s="100"/>
      <c r="F151" s="100"/>
      <c r="G151" s="100"/>
      <c r="J151" s="105"/>
    </row>
    <row r="152" spans="4:10" hidden="1" x14ac:dyDescent="0.25">
      <c r="D152" s="28"/>
      <c r="E152" s="100"/>
      <c r="F152" s="100"/>
      <c r="G152" s="100"/>
      <c r="J152" s="105"/>
    </row>
    <row r="153" spans="4:10" hidden="1" x14ac:dyDescent="0.25">
      <c r="D153" s="28"/>
      <c r="E153" s="100"/>
      <c r="F153" s="100"/>
      <c r="G153" s="100"/>
      <c r="J153" s="105"/>
    </row>
    <row r="154" spans="4:10" hidden="1" x14ac:dyDescent="0.25">
      <c r="D154" s="28"/>
      <c r="E154" s="100"/>
      <c r="F154" s="100"/>
      <c r="G154" s="100"/>
      <c r="J154" s="105"/>
    </row>
    <row r="155" spans="4:10" hidden="1" x14ac:dyDescent="0.25">
      <c r="D155" s="28"/>
      <c r="E155" s="100"/>
      <c r="F155" s="100"/>
      <c r="G155" s="100"/>
      <c r="J155" s="105"/>
    </row>
    <row r="156" spans="4:10" hidden="1" x14ac:dyDescent="0.25">
      <c r="D156" s="28"/>
      <c r="E156" s="100"/>
      <c r="F156" s="100"/>
      <c r="G156" s="100"/>
      <c r="J156" s="105"/>
    </row>
    <row r="157" spans="4:10" hidden="1" x14ac:dyDescent="0.25"/>
    <row r="158" spans="4:10" hidden="1" x14ac:dyDescent="0.25">
      <c r="E158" s="105">
        <v>300</v>
      </c>
      <c r="F158" s="105">
        <v>700</v>
      </c>
      <c r="G158" s="99">
        <v>2000</v>
      </c>
    </row>
    <row r="159" spans="4:10" hidden="1" x14ac:dyDescent="0.25">
      <c r="E159" s="105">
        <v>500</v>
      </c>
      <c r="F159" s="105">
        <v>800</v>
      </c>
      <c r="G159" s="99">
        <v>1200</v>
      </c>
    </row>
    <row r="160" spans="4:10" hidden="1" x14ac:dyDescent="0.25">
      <c r="E160" s="105">
        <v>2000</v>
      </c>
      <c r="F160" s="105">
        <v>4000</v>
      </c>
      <c r="G160" s="99">
        <v>8000</v>
      </c>
    </row>
    <row r="161" spans="5:7" hidden="1" x14ac:dyDescent="0.25">
      <c r="E161" s="105">
        <v>5000</v>
      </c>
      <c r="F161" s="105">
        <v>8000</v>
      </c>
      <c r="G161" s="99">
        <v>12000</v>
      </c>
    </row>
    <row r="162" spans="5:7" hidden="1" x14ac:dyDescent="0.25">
      <c r="E162" s="105"/>
      <c r="F162" s="105"/>
      <c r="G162" s="99"/>
    </row>
    <row r="163" spans="5:7" hidden="1" x14ac:dyDescent="0.25">
      <c r="E163" s="105"/>
      <c r="F163" s="105"/>
      <c r="G163" s="99"/>
    </row>
    <row r="164" spans="5:7" hidden="1" x14ac:dyDescent="0.25">
      <c r="E164" s="105"/>
      <c r="F164" s="105"/>
      <c r="G164" s="99"/>
    </row>
    <row r="165" spans="5:7" hidden="1" x14ac:dyDescent="0.25">
      <c r="E165" s="105"/>
      <c r="F165" s="105"/>
      <c r="G165" s="99"/>
    </row>
    <row r="166" spans="5:7" hidden="1" x14ac:dyDescent="0.25">
      <c r="E166" s="105"/>
      <c r="F166" s="105"/>
      <c r="G166" s="99"/>
    </row>
    <row r="167" spans="5:7" hidden="1" x14ac:dyDescent="0.25">
      <c r="E167" s="105"/>
      <c r="F167" s="105"/>
      <c r="G167" s="99"/>
    </row>
    <row r="168" spans="5:7" hidden="1" x14ac:dyDescent="0.25"/>
    <row r="169" spans="5:7" hidden="1" x14ac:dyDescent="0.25"/>
  </sheetData>
  <sheetProtection sheet="1" objects="1" scenarios="1" selectLockedCells="1"/>
  <mergeCells count="5">
    <mergeCell ref="E29:G29"/>
    <mergeCell ref="B13:D13"/>
    <mergeCell ref="B18:D18"/>
    <mergeCell ref="B23:D23"/>
    <mergeCell ref="B5:H5"/>
  </mergeCells>
  <dataValidations count="1">
    <dataValidation type="whole" allowBlank="1" showInputMessage="1" showErrorMessage="1" errorTitle="Invalid Entry" error="Values input into this cell must be a whole number that is more than 0 (e.g. 3). _x000a__x000a_Entries other than this will cause the tool not to function correctly." sqref="D35:F41 C64:E70" xr:uid="{FBDEE26B-BB4D-4198-BA4D-AFB6871F321B}">
      <formula1>1</formula1>
      <formula2>9.99999999999999E+36</formula2>
    </dataValidation>
  </dataValidations>
  <pageMargins left="0.7" right="0.7" top="0.75" bottom="0.75" header="0.3" footer="0.3"/>
  <pageSetup paperSize="9" orientation="portrait" r:id="rId1"/>
  <ignoredErrors>
    <ignoredError sqref="G35:G42 C51:F56 G31:G32 F34:G34 G70:H70 B17:G17 B31:F31 B34:E34 B35:C42 D42:F42 B43:G46 B49:B70 G50:G69 C57:F60 B19:G20 D16:G16 B22:G25 D21:G21 B33:F33 G33 F49:G49 F48:G48 H61 H62 B32:F32 F47:G47 B27:G30 C26:G26 B18:G18 B26 D35:F41 C70:F70 H63 C69:F69 H64 H65 H66 H67 H68 H69 C68:F68 C67:F67 C66:F66 C49:C50 D50:F50 C65:F65 C64:F64 B16:C16 B21:C21 B47:E48 D49:E49 C61:F63" unlocked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D10305"/>
  <sheetViews>
    <sheetView zoomScaleNormal="100" workbookViewId="0">
      <selection sqref="A1:MD6"/>
    </sheetView>
  </sheetViews>
  <sheetFormatPr defaultColWidth="11.42578125" defaultRowHeight="15" x14ac:dyDescent="0.25"/>
  <cols>
    <col min="5" max="5" width="10.7109375" style="11"/>
    <col min="6" max="6" width="8.7109375" style="11" customWidth="1"/>
    <col min="7" max="8" width="10.7109375" style="11"/>
    <col min="152" max="155" width="11.42578125" customWidth="1"/>
  </cols>
  <sheetData>
    <row r="1" spans="1:342" x14ac:dyDescent="0.25">
      <c r="A1" s="35" t="s">
        <v>284</v>
      </c>
      <c r="B1" s="7"/>
      <c r="C1" s="7"/>
      <c r="D1" s="7"/>
      <c r="E1" s="13"/>
      <c r="F1" s="13"/>
      <c r="G1" s="13"/>
      <c r="H1" s="13"/>
      <c r="I1" s="7"/>
      <c r="J1" s="7"/>
      <c r="K1" s="7"/>
      <c r="L1" s="7"/>
      <c r="M1" s="7"/>
      <c r="N1" s="8"/>
      <c r="O1" s="8"/>
      <c r="P1" s="170"/>
      <c r="Q1" s="171" t="s">
        <v>285</v>
      </c>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10"/>
      <c r="BJ1" s="10"/>
      <c r="BK1" s="10"/>
      <c r="BL1" s="10"/>
      <c r="BM1" s="10"/>
      <c r="BN1" s="10"/>
      <c r="BO1" s="10"/>
      <c r="BP1" s="10"/>
      <c r="BQ1" s="10"/>
      <c r="BR1" s="10"/>
      <c r="BS1" s="10"/>
      <c r="BT1" s="10"/>
      <c r="BU1" s="10"/>
      <c r="BV1" s="10"/>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172" t="s">
        <v>326</v>
      </c>
      <c r="EH1" s="173"/>
      <c r="EI1" s="173"/>
      <c r="EJ1" s="174"/>
      <c r="EK1" s="175"/>
      <c r="EL1" s="173"/>
      <c r="EM1" s="173"/>
      <c r="EN1" s="174"/>
      <c r="EO1" s="176" t="s">
        <v>327</v>
      </c>
      <c r="EP1" s="177"/>
      <c r="EQ1" s="177"/>
      <c r="ER1" s="177"/>
      <c r="ES1" s="177"/>
      <c r="ET1" s="177"/>
      <c r="EU1" s="177" t="s">
        <v>563</v>
      </c>
      <c r="EV1" s="177" t="s">
        <v>563</v>
      </c>
      <c r="EW1" s="177"/>
      <c r="EX1" s="177"/>
      <c r="EY1" s="177"/>
      <c r="EZ1" s="178" t="s">
        <v>328</v>
      </c>
      <c r="FA1" s="179"/>
      <c r="FB1" s="179"/>
      <c r="FC1" s="179"/>
      <c r="FD1" s="179"/>
      <c r="FE1" s="179"/>
      <c r="FF1" s="179"/>
      <c r="FG1" s="179"/>
      <c r="FH1" s="179"/>
      <c r="FI1" s="179"/>
      <c r="FJ1" s="179"/>
      <c r="FK1" s="179"/>
      <c r="FL1" s="179"/>
      <c r="FM1" s="179"/>
      <c r="FN1" s="179"/>
      <c r="FO1" s="179"/>
      <c r="FP1" s="179"/>
      <c r="FQ1" s="179"/>
      <c r="FR1" s="179"/>
      <c r="FS1" s="179"/>
      <c r="FT1" s="179"/>
      <c r="FU1" s="179"/>
      <c r="FV1" s="179"/>
      <c r="FW1" s="179"/>
      <c r="FX1" s="179"/>
      <c r="FY1" s="179"/>
      <c r="FZ1" s="179"/>
      <c r="GA1" s="179"/>
      <c r="GB1" s="179"/>
      <c r="GC1" s="179"/>
      <c r="GD1" s="179"/>
      <c r="GE1" s="179"/>
      <c r="GF1" s="179"/>
      <c r="GG1" s="179"/>
      <c r="GH1" s="179"/>
      <c r="GI1" s="179"/>
      <c r="GJ1" s="179"/>
      <c r="GK1" s="179"/>
      <c r="GL1" s="179"/>
      <c r="GM1" s="179"/>
      <c r="GN1" s="179"/>
      <c r="GO1" s="179"/>
      <c r="GP1" s="179"/>
      <c r="GQ1" s="179"/>
      <c r="GR1" s="179"/>
      <c r="GS1" s="179"/>
      <c r="GT1" s="179"/>
      <c r="GU1" s="179"/>
      <c r="GV1" s="179"/>
      <c r="GW1" s="179"/>
      <c r="GX1" s="179"/>
      <c r="GY1" s="179"/>
      <c r="GZ1" s="179"/>
      <c r="HA1" s="179"/>
      <c r="HB1" s="179"/>
      <c r="HC1" s="179"/>
      <c r="HD1" s="179"/>
      <c r="HE1" s="179"/>
      <c r="HF1" s="179"/>
      <c r="HG1" s="179"/>
      <c r="HH1" s="179"/>
      <c r="HI1" s="179"/>
      <c r="HJ1" s="179"/>
      <c r="HK1" s="179"/>
      <c r="HL1" s="179"/>
      <c r="HM1" s="179"/>
      <c r="HN1" s="179"/>
      <c r="HO1" s="179"/>
      <c r="HP1" s="179"/>
      <c r="HQ1" s="179"/>
      <c r="HR1" s="179"/>
      <c r="HS1" s="179"/>
      <c r="HT1" s="179"/>
      <c r="HU1" s="179"/>
      <c r="HV1" s="179"/>
      <c r="HW1" s="179"/>
      <c r="HX1" s="179"/>
      <c r="HY1" s="179"/>
      <c r="HZ1" s="179"/>
      <c r="IA1" s="179"/>
      <c r="IB1" s="180"/>
      <c r="IC1" s="179"/>
      <c r="ID1" s="179"/>
      <c r="IE1" s="179"/>
      <c r="IF1" s="179"/>
      <c r="IG1" s="179"/>
      <c r="IH1" s="179"/>
      <c r="II1" s="179"/>
      <c r="IJ1" s="179"/>
      <c r="IK1" s="179"/>
      <c r="IL1" s="179"/>
      <c r="IM1" s="179"/>
      <c r="IN1" s="179"/>
      <c r="IO1" s="179"/>
      <c r="IP1" s="179"/>
      <c r="IQ1" s="179"/>
      <c r="IR1" s="179"/>
      <c r="IS1" s="179"/>
      <c r="IT1" s="179"/>
      <c r="IU1" s="179"/>
      <c r="IV1" s="179"/>
      <c r="IW1" s="179"/>
      <c r="IX1" s="179"/>
      <c r="IY1" s="179"/>
      <c r="IZ1" s="179"/>
      <c r="JA1" s="179"/>
      <c r="JB1" s="179"/>
      <c r="JC1" s="179"/>
      <c r="JD1" s="179"/>
      <c r="JE1" s="179"/>
      <c r="JF1" s="179"/>
      <c r="JG1" s="179"/>
      <c r="JH1" s="179"/>
      <c r="JI1" s="179"/>
      <c r="JJ1" s="179"/>
      <c r="JK1" s="179"/>
      <c r="JL1" s="179"/>
      <c r="JM1" s="179"/>
      <c r="JN1" s="179"/>
      <c r="JO1" s="179"/>
      <c r="JP1" s="179"/>
      <c r="JQ1" s="179"/>
      <c r="JR1" s="179"/>
      <c r="JS1" s="179"/>
      <c r="JT1" s="179"/>
      <c r="JU1" s="179"/>
      <c r="JV1" s="179"/>
      <c r="JW1" s="179"/>
      <c r="JX1" s="179"/>
      <c r="JY1" s="179"/>
      <c r="JZ1" s="179"/>
      <c r="KA1" s="179"/>
      <c r="KB1" s="179"/>
      <c r="KC1" s="179"/>
      <c r="KD1" s="179"/>
      <c r="KE1" s="179"/>
      <c r="KF1" s="179"/>
      <c r="KG1" s="179"/>
      <c r="KH1" s="179"/>
      <c r="KI1" s="179"/>
      <c r="KJ1" s="179"/>
      <c r="KK1" s="179"/>
      <c r="KL1" s="179"/>
      <c r="KM1" s="179"/>
      <c r="KN1" s="179"/>
      <c r="KO1" s="179"/>
      <c r="KP1" s="179"/>
      <c r="KQ1" s="179"/>
      <c r="KR1" s="179"/>
      <c r="KS1" s="179"/>
      <c r="KT1" s="179"/>
      <c r="KU1" s="179"/>
      <c r="KV1" s="179"/>
      <c r="KW1" s="179"/>
      <c r="KX1" s="179"/>
      <c r="KY1" s="179"/>
      <c r="KZ1" s="179"/>
      <c r="LA1" s="179"/>
      <c r="LB1" s="179"/>
      <c r="LC1" s="181"/>
      <c r="LD1" s="17" t="s">
        <v>329</v>
      </c>
      <c r="LE1" s="16"/>
      <c r="LF1" s="16"/>
      <c r="LG1" s="16"/>
      <c r="LH1" s="16"/>
      <c r="LI1" s="16"/>
      <c r="LJ1" s="16"/>
      <c r="LK1" s="16"/>
      <c r="LL1" s="16"/>
      <c r="LM1" s="16"/>
      <c r="LN1" s="16"/>
      <c r="LO1" s="16"/>
      <c r="LP1" s="16"/>
      <c r="LQ1" s="16"/>
      <c r="LR1" s="16"/>
      <c r="LS1" s="16"/>
      <c r="LT1" s="177"/>
      <c r="LU1" s="177"/>
      <c r="LV1" s="177"/>
      <c r="LW1" s="177"/>
      <c r="LX1" s="177"/>
      <c r="LY1" s="177"/>
      <c r="LZ1" s="177" t="s">
        <v>563</v>
      </c>
      <c r="MA1" s="177" t="s">
        <v>563</v>
      </c>
    </row>
    <row r="2" spans="1:342" x14ac:dyDescent="0.25">
      <c r="A2" s="36" t="s">
        <v>330</v>
      </c>
      <c r="B2" s="37"/>
      <c r="C2" s="37"/>
      <c r="D2" s="38"/>
      <c r="E2" s="182" t="s">
        <v>284</v>
      </c>
      <c r="F2" s="14"/>
      <c r="G2" s="14" t="s">
        <v>331</v>
      </c>
      <c r="H2" s="183"/>
      <c r="I2" s="184" t="s">
        <v>332</v>
      </c>
      <c r="J2" s="185"/>
      <c r="K2" s="14" t="s">
        <v>331</v>
      </c>
      <c r="L2" s="185"/>
      <c r="M2" s="186" t="s">
        <v>333</v>
      </c>
      <c r="N2" s="1"/>
      <c r="O2" s="1"/>
      <c r="P2" s="6"/>
      <c r="Q2" s="185" t="s">
        <v>334</v>
      </c>
      <c r="R2" s="185"/>
      <c r="S2" s="185"/>
      <c r="T2" s="187"/>
      <c r="U2" s="184"/>
      <c r="V2" s="185"/>
      <c r="W2" s="185"/>
      <c r="X2" s="187"/>
      <c r="Y2" s="184"/>
      <c r="Z2" s="185"/>
      <c r="AA2" s="185"/>
      <c r="AB2" s="187"/>
      <c r="AC2" s="184"/>
      <c r="AD2" s="185"/>
      <c r="AE2" s="185"/>
      <c r="AF2" s="187"/>
      <c r="AG2" s="184"/>
      <c r="AH2" s="185"/>
      <c r="AI2" s="185"/>
      <c r="AJ2" s="187"/>
      <c r="AK2" s="184"/>
      <c r="AL2" s="185"/>
      <c r="AM2" s="185"/>
      <c r="AN2" s="187"/>
      <c r="AO2" s="184"/>
      <c r="AP2" s="185"/>
      <c r="AQ2" s="185"/>
      <c r="AR2" s="187"/>
      <c r="AS2" s="184"/>
      <c r="AT2" s="185"/>
      <c r="AU2" s="185"/>
      <c r="AV2" s="187"/>
      <c r="AW2" s="184"/>
      <c r="AX2" s="185"/>
      <c r="AY2" s="185"/>
      <c r="AZ2" s="187"/>
      <c r="BA2" s="184"/>
      <c r="BB2" s="185"/>
      <c r="BC2" s="185"/>
      <c r="BD2" s="187"/>
      <c r="BE2" s="184" t="s">
        <v>335</v>
      </c>
      <c r="BF2" s="185" t="s">
        <v>336</v>
      </c>
      <c r="BG2" s="185"/>
      <c r="BH2" s="187"/>
      <c r="BI2" s="184"/>
      <c r="BJ2" s="185"/>
      <c r="BK2" s="185"/>
      <c r="BL2" s="187"/>
      <c r="BM2" s="184"/>
      <c r="BN2" s="185"/>
      <c r="BO2" s="185"/>
      <c r="BP2" s="187"/>
      <c r="BQ2" s="184"/>
      <c r="BR2" s="185"/>
      <c r="BS2" s="185"/>
      <c r="BT2" s="187"/>
      <c r="BU2" s="184"/>
      <c r="BV2" s="185"/>
      <c r="BW2" s="185"/>
      <c r="BX2" s="187"/>
      <c r="BY2" s="184"/>
      <c r="BZ2" s="185"/>
      <c r="CA2" s="185"/>
      <c r="CB2" s="187"/>
      <c r="CC2" s="184"/>
      <c r="CD2" s="185"/>
      <c r="CE2" s="185"/>
      <c r="CF2" s="187"/>
      <c r="CG2" s="184"/>
      <c r="CH2" s="185"/>
      <c r="CI2" s="185"/>
      <c r="CJ2" s="187"/>
      <c r="CK2" s="184"/>
      <c r="CL2" s="185"/>
      <c r="CM2" s="185"/>
      <c r="CN2" s="187"/>
      <c r="CO2" s="184"/>
      <c r="CP2" s="185"/>
      <c r="CQ2" s="185"/>
      <c r="CR2" s="187"/>
      <c r="CS2" s="184"/>
      <c r="CT2" s="185"/>
      <c r="CU2" s="185"/>
      <c r="CV2" s="187"/>
      <c r="CW2" s="184"/>
      <c r="CX2" s="185"/>
      <c r="CY2" s="185"/>
      <c r="CZ2" s="187"/>
      <c r="DA2" s="184"/>
      <c r="DB2" s="185"/>
      <c r="DC2" s="185"/>
      <c r="DD2" s="187"/>
      <c r="DE2" s="184"/>
      <c r="DF2" s="185"/>
      <c r="DG2" s="185"/>
      <c r="DH2" s="187"/>
      <c r="DI2" s="184"/>
      <c r="DJ2" s="185"/>
      <c r="DK2" s="185"/>
      <c r="DL2" s="187"/>
      <c r="DM2" s="184"/>
      <c r="DN2" s="185"/>
      <c r="DO2" s="185"/>
      <c r="DP2" s="187"/>
      <c r="DQ2" s="184"/>
      <c r="DR2" s="185"/>
      <c r="DS2" s="185"/>
      <c r="DT2" s="187"/>
      <c r="DU2" s="184"/>
      <c r="DV2" s="185"/>
      <c r="DW2" s="185"/>
      <c r="DX2" s="187"/>
      <c r="DY2" s="184"/>
      <c r="DZ2" s="185"/>
      <c r="EA2" s="185"/>
      <c r="EB2" s="187"/>
      <c r="EC2" s="184"/>
      <c r="ED2" s="185"/>
      <c r="EE2" s="185"/>
      <c r="EF2" s="187"/>
      <c r="EG2" s="188" t="s">
        <v>337</v>
      </c>
      <c r="EH2" s="189"/>
      <c r="EI2" s="189"/>
      <c r="EJ2" s="38"/>
      <c r="EK2" s="188" t="s">
        <v>326</v>
      </c>
      <c r="EL2" s="189"/>
      <c r="EM2" s="189"/>
      <c r="EN2" s="38"/>
      <c r="EO2" s="190" t="s">
        <v>338</v>
      </c>
      <c r="EP2" s="191"/>
      <c r="EQ2" s="191"/>
      <c r="ER2" s="191"/>
      <c r="ES2" s="192"/>
      <c r="ET2" s="192"/>
      <c r="EU2" s="205" t="s">
        <v>564</v>
      </c>
      <c r="EV2" s="205" t="s">
        <v>566</v>
      </c>
      <c r="EW2" s="205"/>
      <c r="EX2" s="205"/>
      <c r="EY2" s="205"/>
      <c r="EZ2" s="193" t="s">
        <v>339</v>
      </c>
      <c r="FA2" s="194"/>
      <c r="FB2" s="194"/>
      <c r="FC2" s="195"/>
      <c r="FD2" s="186"/>
      <c r="FE2" s="194"/>
      <c r="FF2" s="194"/>
      <c r="FG2" s="195"/>
      <c r="FH2" s="186"/>
      <c r="FI2" s="194"/>
      <c r="FJ2" s="194"/>
      <c r="FK2" s="195"/>
      <c r="FL2" s="186"/>
      <c r="FM2" s="194"/>
      <c r="FN2" s="194"/>
      <c r="FO2" s="195"/>
      <c r="FP2" s="186"/>
      <c r="FQ2" s="194"/>
      <c r="FR2" s="194"/>
      <c r="FS2" s="195"/>
      <c r="FT2" s="186"/>
      <c r="FU2" s="194"/>
      <c r="FV2" s="194"/>
      <c r="FW2" s="195"/>
      <c r="FX2" s="186"/>
      <c r="FY2" s="194"/>
      <c r="FZ2" s="194"/>
      <c r="GA2" s="195"/>
      <c r="GB2" s="186"/>
      <c r="GC2" s="194"/>
      <c r="GD2" s="194"/>
      <c r="GE2" s="195"/>
      <c r="GF2" s="186"/>
      <c r="GG2" s="194"/>
      <c r="GH2" s="194"/>
      <c r="GI2" s="195"/>
      <c r="GJ2" s="194"/>
      <c r="GK2" s="194"/>
      <c r="GL2" s="194"/>
      <c r="GM2" s="195"/>
      <c r="GN2" s="178" t="s">
        <v>340</v>
      </c>
      <c r="GO2" s="196"/>
      <c r="GP2" s="196"/>
      <c r="GQ2" s="197"/>
      <c r="GR2" s="198"/>
      <c r="GS2" s="196"/>
      <c r="GT2" s="196"/>
      <c r="GU2" s="197"/>
      <c r="GV2" s="198"/>
      <c r="GW2" s="196"/>
      <c r="GX2" s="196"/>
      <c r="GY2" s="197"/>
      <c r="GZ2" s="198"/>
      <c r="HA2" s="196"/>
      <c r="HB2" s="196"/>
      <c r="HC2" s="197"/>
      <c r="HD2" s="198"/>
      <c r="HE2" s="196"/>
      <c r="HF2" s="196"/>
      <c r="HG2" s="197"/>
      <c r="HH2" s="198"/>
      <c r="HI2" s="196"/>
      <c r="HJ2" s="196"/>
      <c r="HK2" s="197"/>
      <c r="HL2" s="198"/>
      <c r="HM2" s="196"/>
      <c r="HN2" s="196"/>
      <c r="HO2" s="197"/>
      <c r="HP2" s="198"/>
      <c r="HQ2" s="196"/>
      <c r="HR2" s="196"/>
      <c r="HS2" s="197"/>
      <c r="HT2" s="198"/>
      <c r="HU2" s="196"/>
      <c r="HV2" s="196"/>
      <c r="HW2" s="197"/>
      <c r="HX2" s="198"/>
      <c r="HY2" s="196"/>
      <c r="HZ2" s="196"/>
      <c r="IA2" s="197"/>
      <c r="IB2" s="178" t="s">
        <v>341</v>
      </c>
      <c r="IC2" s="199" t="s">
        <v>342</v>
      </c>
      <c r="ID2" s="196" t="s">
        <v>343</v>
      </c>
      <c r="IE2" s="197"/>
      <c r="IF2" s="196"/>
      <c r="IG2" s="196"/>
      <c r="IH2" s="196"/>
      <c r="II2" s="197"/>
      <c r="IJ2" s="198"/>
      <c r="IK2" s="196"/>
      <c r="IL2" s="196"/>
      <c r="IM2" s="197"/>
      <c r="IN2" s="198"/>
      <c r="IO2" s="196"/>
      <c r="IP2" s="196"/>
      <c r="IQ2" s="197"/>
      <c r="IR2" s="198"/>
      <c r="IS2" s="196"/>
      <c r="IT2" s="196"/>
      <c r="IU2" s="197"/>
      <c r="IV2" s="198"/>
      <c r="IW2" s="196"/>
      <c r="IX2" s="196"/>
      <c r="IY2" s="196"/>
      <c r="IZ2" s="198"/>
      <c r="JA2" s="196"/>
      <c r="JB2" s="196"/>
      <c r="JC2" s="197"/>
      <c r="JD2" s="198"/>
      <c r="JE2" s="196"/>
      <c r="JF2" s="196"/>
      <c r="JG2" s="197"/>
      <c r="JH2" s="198"/>
      <c r="JI2" s="196"/>
      <c r="JJ2" s="196"/>
      <c r="JK2" s="197"/>
      <c r="JL2" s="198"/>
      <c r="JM2" s="196"/>
      <c r="JN2" s="196"/>
      <c r="JO2" s="196"/>
      <c r="JP2" s="178" t="s">
        <v>341</v>
      </c>
      <c r="JQ2" s="199" t="s">
        <v>344</v>
      </c>
      <c r="JR2" s="196" t="s">
        <v>345</v>
      </c>
      <c r="JS2" s="197"/>
      <c r="JT2" s="196"/>
      <c r="JU2" s="196"/>
      <c r="JV2" s="196"/>
      <c r="JW2" s="197"/>
      <c r="JX2" s="198"/>
      <c r="JY2" s="196"/>
      <c r="JZ2" s="196"/>
      <c r="KA2" s="197"/>
      <c r="KB2" s="198"/>
      <c r="KC2" s="196"/>
      <c r="KD2" s="196"/>
      <c r="KE2" s="197"/>
      <c r="KF2" s="198"/>
      <c r="KG2" s="196"/>
      <c r="KH2" s="196"/>
      <c r="KI2" s="197"/>
      <c r="KJ2" s="198"/>
      <c r="KK2" s="196"/>
      <c r="KL2" s="196"/>
      <c r="KM2" s="196"/>
      <c r="KN2" s="198"/>
      <c r="KO2" s="196"/>
      <c r="KP2" s="196"/>
      <c r="KQ2" s="197"/>
      <c r="KR2" s="198"/>
      <c r="KS2" s="196"/>
      <c r="KT2" s="196"/>
      <c r="KU2" s="197"/>
      <c r="KV2" s="198"/>
      <c r="KW2" s="196"/>
      <c r="KX2" s="196"/>
      <c r="KY2" s="197"/>
      <c r="KZ2" s="198"/>
      <c r="LA2" s="196"/>
      <c r="LB2" s="196"/>
      <c r="LC2" s="197"/>
      <c r="LD2" s="200" t="s">
        <v>346</v>
      </c>
      <c r="LE2" s="179" t="s">
        <v>347</v>
      </c>
      <c r="LF2" s="179"/>
      <c r="LG2" s="179"/>
      <c r="LH2" s="179" t="s">
        <v>346</v>
      </c>
      <c r="LI2" s="179" t="s">
        <v>348</v>
      </c>
      <c r="LJ2" s="179"/>
      <c r="LK2" s="179"/>
      <c r="LL2" s="179" t="s">
        <v>346</v>
      </c>
      <c r="LM2" s="179" t="s">
        <v>349</v>
      </c>
      <c r="LN2" s="179"/>
      <c r="LO2" s="181"/>
      <c r="LP2" s="179" t="s">
        <v>350</v>
      </c>
      <c r="LQ2" s="179" t="s">
        <v>326</v>
      </c>
      <c r="LR2" s="179"/>
      <c r="LS2" s="181"/>
      <c r="LT2" s="200" t="s">
        <v>351</v>
      </c>
      <c r="LU2" s="38"/>
    </row>
    <row r="3" spans="1:342" x14ac:dyDescent="0.25">
      <c r="A3" s="24" t="s">
        <v>352</v>
      </c>
      <c r="B3" s="24" t="s">
        <v>353</v>
      </c>
      <c r="C3" s="24" t="s">
        <v>354</v>
      </c>
      <c r="D3" t="s">
        <v>355</v>
      </c>
      <c r="E3" s="24" t="s">
        <v>356</v>
      </c>
      <c r="F3" s="24" t="s">
        <v>357</v>
      </c>
      <c r="G3" s="24" t="s">
        <v>358</v>
      </c>
      <c r="H3" t="s">
        <v>359</v>
      </c>
      <c r="I3" s="3" t="s">
        <v>360</v>
      </c>
      <c r="M3" s="3" t="s">
        <v>361</v>
      </c>
      <c r="P3" s="2"/>
      <c r="Q3" s="5" t="s">
        <v>362</v>
      </c>
      <c r="T3" s="2"/>
      <c r="U3" s="4" t="s">
        <v>363</v>
      </c>
      <c r="X3" s="2"/>
      <c r="Y3" s="4" t="s">
        <v>364</v>
      </c>
      <c r="AB3" s="2"/>
      <c r="AC3" s="4" t="s">
        <v>365</v>
      </c>
      <c r="AF3" s="2"/>
      <c r="AG3" s="4" t="s">
        <v>366</v>
      </c>
      <c r="AJ3" s="2"/>
      <c r="AK3" s="4" t="s">
        <v>367</v>
      </c>
      <c r="AN3" s="2"/>
      <c r="AO3" s="4" t="s">
        <v>368</v>
      </c>
      <c r="AR3" s="2"/>
      <c r="AS3" s="4" t="s">
        <v>369</v>
      </c>
      <c r="AV3" s="2"/>
      <c r="AW3" s="4" t="s">
        <v>370</v>
      </c>
      <c r="AZ3" s="2"/>
      <c r="BA3" s="4" t="s">
        <v>371</v>
      </c>
      <c r="BD3" s="2"/>
      <c r="BE3" s="4" t="s">
        <v>372</v>
      </c>
      <c r="BH3" s="2"/>
      <c r="BI3" s="4" t="s">
        <v>373</v>
      </c>
      <c r="BL3" s="2"/>
      <c r="BM3" s="4" t="s">
        <v>374</v>
      </c>
      <c r="BP3" s="2"/>
      <c r="BQ3" s="4" t="s">
        <v>375</v>
      </c>
      <c r="BT3" s="2"/>
      <c r="BU3" s="4" t="s">
        <v>376</v>
      </c>
      <c r="BX3" s="2"/>
      <c r="BY3" s="4" t="s">
        <v>377</v>
      </c>
      <c r="CB3" s="2"/>
      <c r="CC3" s="4" t="s">
        <v>378</v>
      </c>
      <c r="CF3" s="2"/>
      <c r="CG3" s="4" t="s">
        <v>379</v>
      </c>
      <c r="CJ3" s="2"/>
      <c r="CK3" s="4" t="s">
        <v>380</v>
      </c>
      <c r="CN3" s="2"/>
      <c r="CO3" s="4" t="s">
        <v>381</v>
      </c>
      <c r="CR3" s="2"/>
      <c r="CS3" s="4" t="s">
        <v>382</v>
      </c>
      <c r="CV3" s="2"/>
      <c r="CW3" s="4" t="s">
        <v>383</v>
      </c>
      <c r="CZ3" s="2"/>
      <c r="DA3" s="4" t="s">
        <v>384</v>
      </c>
      <c r="DD3" s="2"/>
      <c r="DE3" s="4" t="s">
        <v>385</v>
      </c>
      <c r="DH3" s="2"/>
      <c r="DI3" s="4" t="s">
        <v>386</v>
      </c>
      <c r="DL3" s="2"/>
      <c r="DM3" s="4" t="s">
        <v>387</v>
      </c>
      <c r="DP3" s="2"/>
      <c r="DQ3" s="4" t="s">
        <v>388</v>
      </c>
      <c r="DT3" s="2"/>
      <c r="DU3" s="4" t="s">
        <v>389</v>
      </c>
      <c r="DX3" s="2"/>
      <c r="DY3" s="4" t="s">
        <v>390</v>
      </c>
      <c r="EB3" s="2"/>
      <c r="EC3" s="4" t="s">
        <v>391</v>
      </c>
      <c r="EF3" s="2"/>
      <c r="EG3" s="3" t="s">
        <v>392</v>
      </c>
      <c r="EJ3" s="2"/>
      <c r="EK3" s="3" t="s">
        <v>393</v>
      </c>
      <c r="EN3" s="2"/>
      <c r="EO3" s="190"/>
      <c r="EP3" s="191" t="s">
        <v>394</v>
      </c>
      <c r="EQ3" s="191" t="s">
        <v>395</v>
      </c>
      <c r="ER3" s="191" t="s">
        <v>396</v>
      </c>
      <c r="ES3" s="191" t="s">
        <v>397</v>
      </c>
      <c r="ET3" s="192" t="s">
        <v>398</v>
      </c>
      <c r="EU3" s="9" t="s">
        <v>565</v>
      </c>
      <c r="EV3" s="9" t="s">
        <v>567</v>
      </c>
      <c r="EW3" s="9" t="s">
        <v>569</v>
      </c>
      <c r="EX3" s="9" t="s">
        <v>570</v>
      </c>
      <c r="EY3" s="9" t="s">
        <v>571</v>
      </c>
      <c r="EZ3" s="3" t="s">
        <v>399</v>
      </c>
      <c r="FC3" s="2"/>
      <c r="FD3" s="3" t="s">
        <v>400</v>
      </c>
      <c r="FG3" s="2"/>
      <c r="FH3" s="3" t="s">
        <v>401</v>
      </c>
      <c r="FK3" s="2"/>
      <c r="FL3" s="3" t="s">
        <v>402</v>
      </c>
      <c r="FO3" s="2"/>
      <c r="FP3" s="3" t="s">
        <v>403</v>
      </c>
      <c r="FS3" s="2"/>
      <c r="FT3" s="3" t="s">
        <v>404</v>
      </c>
      <c r="FW3" s="2"/>
      <c r="FX3" s="3" t="s">
        <v>405</v>
      </c>
      <c r="GA3" s="2"/>
      <c r="GB3" s="3" t="s">
        <v>406</v>
      </c>
      <c r="GE3" s="2"/>
      <c r="GF3" s="3" t="s">
        <v>407</v>
      </c>
      <c r="GI3" s="2"/>
      <c r="GJ3" t="s">
        <v>408</v>
      </c>
      <c r="GM3" s="2"/>
      <c r="GN3" s="3" t="s">
        <v>409</v>
      </c>
      <c r="GQ3" s="2"/>
      <c r="GR3" s="3" t="s">
        <v>410</v>
      </c>
      <c r="GU3" s="2"/>
      <c r="GV3" s="3" t="s">
        <v>411</v>
      </c>
      <c r="GY3" s="2"/>
      <c r="GZ3" s="3" t="s">
        <v>412</v>
      </c>
      <c r="HC3" s="2"/>
      <c r="HD3" s="3" t="s">
        <v>413</v>
      </c>
      <c r="HG3" s="2"/>
      <c r="HH3" s="3" t="s">
        <v>414</v>
      </c>
      <c r="HK3" s="2"/>
      <c r="HL3" s="3" t="s">
        <v>415</v>
      </c>
      <c r="HO3" s="2"/>
      <c r="HP3" s="3" t="s">
        <v>416</v>
      </c>
      <c r="HS3" s="2"/>
      <c r="HT3" s="3" t="s">
        <v>417</v>
      </c>
      <c r="HW3" s="2"/>
      <c r="HX3" s="3" t="s">
        <v>418</v>
      </c>
      <c r="IA3" s="2"/>
      <c r="IB3" s="3" t="s">
        <v>419</v>
      </c>
      <c r="IE3" s="2"/>
      <c r="IF3" s="3" t="s">
        <v>420</v>
      </c>
      <c r="II3" s="2"/>
      <c r="IJ3" s="3" t="s">
        <v>421</v>
      </c>
      <c r="IM3" s="2"/>
      <c r="IN3" s="3" t="s">
        <v>422</v>
      </c>
      <c r="IQ3" s="2"/>
      <c r="IR3" s="3" t="s">
        <v>423</v>
      </c>
      <c r="IU3" s="2"/>
      <c r="IV3" s="3" t="s">
        <v>424</v>
      </c>
      <c r="IY3" s="2"/>
      <c r="IZ3" s="3" t="s">
        <v>425</v>
      </c>
      <c r="JC3" s="2"/>
      <c r="JD3" s="3" t="s">
        <v>426</v>
      </c>
      <c r="JG3" s="2"/>
      <c r="JH3" s="3" t="s">
        <v>427</v>
      </c>
      <c r="JK3" s="2"/>
      <c r="JL3" s="3" t="s">
        <v>428</v>
      </c>
      <c r="JO3" s="2"/>
      <c r="JP3" s="12" t="s">
        <v>429</v>
      </c>
      <c r="JS3" s="2"/>
      <c r="JT3" s="3" t="s">
        <v>430</v>
      </c>
      <c r="JW3" s="2"/>
      <c r="JX3" s="12" t="s">
        <v>431</v>
      </c>
      <c r="KA3" s="2"/>
      <c r="KB3" s="3" t="s">
        <v>432</v>
      </c>
      <c r="KE3" s="2"/>
      <c r="KF3" s="12" t="s">
        <v>433</v>
      </c>
      <c r="KI3" s="2"/>
      <c r="KJ3" s="3" t="s">
        <v>434</v>
      </c>
      <c r="KM3" s="2"/>
      <c r="KN3" s="12" t="s">
        <v>435</v>
      </c>
      <c r="KQ3" s="2"/>
      <c r="KR3" s="3" t="s">
        <v>436</v>
      </c>
      <c r="KU3" s="2"/>
      <c r="KV3" s="12" t="s">
        <v>437</v>
      </c>
      <c r="KY3" s="2"/>
      <c r="KZ3" s="3" t="s">
        <v>438</v>
      </c>
      <c r="LC3" s="2"/>
      <c r="LD3" s="184" t="s">
        <v>439</v>
      </c>
      <c r="LE3" s="185"/>
      <c r="LF3" s="185"/>
      <c r="LG3" s="187"/>
      <c r="LH3" s="184" t="s">
        <v>440</v>
      </c>
      <c r="LI3" s="185"/>
      <c r="LJ3" s="185"/>
      <c r="LK3" s="187"/>
      <c r="LL3" s="184" t="s">
        <v>441</v>
      </c>
      <c r="LM3" s="185"/>
      <c r="LN3" s="185"/>
      <c r="LO3" s="187"/>
      <c r="LP3" s="184" t="s">
        <v>442</v>
      </c>
      <c r="LQ3" s="185"/>
      <c r="LR3" s="185"/>
      <c r="LS3" s="187"/>
      <c r="LT3" s="200"/>
      <c r="LU3" s="200" t="s">
        <v>394</v>
      </c>
      <c r="LV3" s="200" t="s">
        <v>395</v>
      </c>
      <c r="LW3" s="200" t="s">
        <v>396</v>
      </c>
      <c r="LX3" s="200" t="s">
        <v>397</v>
      </c>
      <c r="LY3" s="200" t="s">
        <v>398</v>
      </c>
      <c r="LZ3" s="206" t="s">
        <v>606</v>
      </c>
      <c r="MA3" s="206" t="s">
        <v>567</v>
      </c>
      <c r="MB3" s="206" t="s">
        <v>569</v>
      </c>
      <c r="MC3" s="206" t="s">
        <v>570</v>
      </c>
      <c r="MD3" s="206" t="s">
        <v>571</v>
      </c>
    </row>
    <row r="4" spans="1:342" x14ac:dyDescent="0.25">
      <c r="A4" s="201" t="s">
        <v>443</v>
      </c>
      <c r="B4" s="201" t="s">
        <v>444</v>
      </c>
      <c r="C4" s="201" t="s">
        <v>445</v>
      </c>
      <c r="D4" s="201" t="s">
        <v>446</v>
      </c>
      <c r="E4" s="19" t="s">
        <v>443</v>
      </c>
      <c r="F4" s="20" t="s">
        <v>444</v>
      </c>
      <c r="G4" s="20" t="s">
        <v>445</v>
      </c>
      <c r="H4" s="21" t="s">
        <v>446</v>
      </c>
      <c r="I4" s="4" t="s">
        <v>443</v>
      </c>
      <c r="J4" s="5" t="s">
        <v>444</v>
      </c>
      <c r="K4" s="5" t="s">
        <v>445</v>
      </c>
      <c r="L4" s="5" t="s">
        <v>446</v>
      </c>
      <c r="M4" s="4" t="s">
        <v>443</v>
      </c>
      <c r="N4" s="5" t="s">
        <v>444</v>
      </c>
      <c r="O4" s="5" t="s">
        <v>445</v>
      </c>
      <c r="P4" s="18" t="s">
        <v>446</v>
      </c>
      <c r="Q4" s="5" t="s">
        <v>443</v>
      </c>
      <c r="R4" s="5" t="s">
        <v>444</v>
      </c>
      <c r="S4" s="5" t="s">
        <v>445</v>
      </c>
      <c r="T4" s="18" t="s">
        <v>446</v>
      </c>
      <c r="U4" s="4" t="s">
        <v>443</v>
      </c>
      <c r="V4" s="5" t="s">
        <v>444</v>
      </c>
      <c r="W4" s="5" t="s">
        <v>445</v>
      </c>
      <c r="X4" s="18" t="s">
        <v>446</v>
      </c>
      <c r="Y4" s="4" t="s">
        <v>443</v>
      </c>
      <c r="Z4" s="5" t="s">
        <v>444</v>
      </c>
      <c r="AA4" s="5" t="s">
        <v>445</v>
      </c>
      <c r="AB4" s="18" t="s">
        <v>446</v>
      </c>
      <c r="AC4" s="4" t="s">
        <v>443</v>
      </c>
      <c r="AD4" s="5" t="s">
        <v>444</v>
      </c>
      <c r="AE4" s="5" t="s">
        <v>445</v>
      </c>
      <c r="AF4" s="18" t="s">
        <v>446</v>
      </c>
      <c r="AG4" s="4" t="s">
        <v>443</v>
      </c>
      <c r="AH4" s="5" t="s">
        <v>444</v>
      </c>
      <c r="AI4" s="5" t="s">
        <v>445</v>
      </c>
      <c r="AJ4" s="18" t="s">
        <v>446</v>
      </c>
      <c r="AK4" s="4" t="s">
        <v>443</v>
      </c>
      <c r="AL4" s="5" t="s">
        <v>444</v>
      </c>
      <c r="AM4" s="5" t="s">
        <v>445</v>
      </c>
      <c r="AN4" s="18" t="s">
        <v>446</v>
      </c>
      <c r="AO4" s="4" t="s">
        <v>443</v>
      </c>
      <c r="AP4" s="5" t="s">
        <v>444</v>
      </c>
      <c r="AQ4" s="5" t="s">
        <v>445</v>
      </c>
      <c r="AR4" s="18" t="s">
        <v>446</v>
      </c>
      <c r="AS4" s="4" t="s">
        <v>443</v>
      </c>
      <c r="AT4" s="5" t="s">
        <v>444</v>
      </c>
      <c r="AU4" s="5" t="s">
        <v>445</v>
      </c>
      <c r="AV4" s="18" t="s">
        <v>446</v>
      </c>
      <c r="AW4" s="4" t="s">
        <v>443</v>
      </c>
      <c r="AX4" s="5" t="s">
        <v>444</v>
      </c>
      <c r="AY4" s="5" t="s">
        <v>445</v>
      </c>
      <c r="AZ4" s="18" t="s">
        <v>446</v>
      </c>
      <c r="BA4" s="4" t="s">
        <v>443</v>
      </c>
      <c r="BB4" s="5" t="s">
        <v>444</v>
      </c>
      <c r="BC4" s="5" t="s">
        <v>445</v>
      </c>
      <c r="BD4" s="18" t="s">
        <v>446</v>
      </c>
      <c r="BE4" s="4" t="s">
        <v>443</v>
      </c>
      <c r="BF4" s="5" t="s">
        <v>444</v>
      </c>
      <c r="BG4" s="5" t="s">
        <v>445</v>
      </c>
      <c r="BH4" s="18" t="s">
        <v>446</v>
      </c>
      <c r="BI4" s="4" t="s">
        <v>443</v>
      </c>
      <c r="BJ4" s="5" t="s">
        <v>444</v>
      </c>
      <c r="BK4" s="5" t="s">
        <v>445</v>
      </c>
      <c r="BL4" s="18" t="s">
        <v>446</v>
      </c>
      <c r="BM4" s="4" t="s">
        <v>443</v>
      </c>
      <c r="BN4" s="5" t="s">
        <v>444</v>
      </c>
      <c r="BO4" s="5" t="s">
        <v>445</v>
      </c>
      <c r="BP4" s="18" t="s">
        <v>446</v>
      </c>
      <c r="BQ4" s="4" t="s">
        <v>443</v>
      </c>
      <c r="BR4" s="5" t="s">
        <v>444</v>
      </c>
      <c r="BS4" s="5" t="s">
        <v>445</v>
      </c>
      <c r="BT4" s="18" t="s">
        <v>446</v>
      </c>
      <c r="BU4" s="4" t="s">
        <v>443</v>
      </c>
      <c r="BV4" s="5" t="s">
        <v>444</v>
      </c>
      <c r="BW4" s="5" t="s">
        <v>445</v>
      </c>
      <c r="BX4" s="18" t="s">
        <v>446</v>
      </c>
      <c r="BY4" s="4" t="s">
        <v>443</v>
      </c>
      <c r="BZ4" s="5" t="s">
        <v>444</v>
      </c>
      <c r="CA4" s="5" t="s">
        <v>445</v>
      </c>
      <c r="CB4" s="18" t="s">
        <v>446</v>
      </c>
      <c r="CC4" s="4" t="s">
        <v>443</v>
      </c>
      <c r="CD4" s="5" t="s">
        <v>444</v>
      </c>
      <c r="CE4" s="5" t="s">
        <v>445</v>
      </c>
      <c r="CF4" s="18" t="s">
        <v>446</v>
      </c>
      <c r="CG4" s="4" t="s">
        <v>443</v>
      </c>
      <c r="CH4" s="5" t="s">
        <v>444</v>
      </c>
      <c r="CI4" s="5" t="s">
        <v>445</v>
      </c>
      <c r="CJ4" s="18" t="s">
        <v>446</v>
      </c>
      <c r="CK4" s="4" t="s">
        <v>443</v>
      </c>
      <c r="CL4" s="5" t="s">
        <v>444</v>
      </c>
      <c r="CM4" s="5" t="s">
        <v>445</v>
      </c>
      <c r="CN4" s="18" t="s">
        <v>446</v>
      </c>
      <c r="CO4" s="4" t="s">
        <v>443</v>
      </c>
      <c r="CP4" s="5" t="s">
        <v>444</v>
      </c>
      <c r="CQ4" s="5" t="s">
        <v>445</v>
      </c>
      <c r="CR4" s="18" t="s">
        <v>446</v>
      </c>
      <c r="CS4" s="4" t="s">
        <v>443</v>
      </c>
      <c r="CT4" s="5" t="s">
        <v>444</v>
      </c>
      <c r="CU4" s="5" t="s">
        <v>445</v>
      </c>
      <c r="CV4" s="18" t="s">
        <v>446</v>
      </c>
      <c r="CW4" s="4" t="s">
        <v>443</v>
      </c>
      <c r="CX4" s="5" t="s">
        <v>444</v>
      </c>
      <c r="CY4" s="5" t="s">
        <v>445</v>
      </c>
      <c r="CZ4" s="18" t="s">
        <v>446</v>
      </c>
      <c r="DA4" s="4" t="s">
        <v>443</v>
      </c>
      <c r="DB4" s="5" t="s">
        <v>444</v>
      </c>
      <c r="DC4" s="5" t="s">
        <v>445</v>
      </c>
      <c r="DD4" s="18" t="s">
        <v>446</v>
      </c>
      <c r="DE4" s="4" t="s">
        <v>443</v>
      </c>
      <c r="DF4" s="5" t="s">
        <v>444</v>
      </c>
      <c r="DG4" s="5" t="s">
        <v>445</v>
      </c>
      <c r="DH4" s="18" t="s">
        <v>446</v>
      </c>
      <c r="DI4" s="4" t="s">
        <v>443</v>
      </c>
      <c r="DJ4" s="5" t="s">
        <v>444</v>
      </c>
      <c r="DK4" s="5" t="s">
        <v>445</v>
      </c>
      <c r="DL4" s="18" t="s">
        <v>446</v>
      </c>
      <c r="DM4" s="4" t="s">
        <v>443</v>
      </c>
      <c r="DN4" s="5" t="s">
        <v>444</v>
      </c>
      <c r="DO4" s="5" t="s">
        <v>445</v>
      </c>
      <c r="DP4" s="18" t="s">
        <v>446</v>
      </c>
      <c r="DQ4" s="4" t="s">
        <v>443</v>
      </c>
      <c r="DR4" s="5" t="s">
        <v>444</v>
      </c>
      <c r="DS4" s="5" t="s">
        <v>445</v>
      </c>
      <c r="DT4" s="18" t="s">
        <v>446</v>
      </c>
      <c r="DU4" s="4" t="s">
        <v>443</v>
      </c>
      <c r="DV4" s="5" t="s">
        <v>444</v>
      </c>
      <c r="DW4" s="5" t="s">
        <v>445</v>
      </c>
      <c r="DX4" s="18" t="s">
        <v>446</v>
      </c>
      <c r="DY4" s="4" t="s">
        <v>443</v>
      </c>
      <c r="DZ4" s="5" t="s">
        <v>444</v>
      </c>
      <c r="EA4" s="5" t="s">
        <v>445</v>
      </c>
      <c r="EB4" s="18" t="s">
        <v>446</v>
      </c>
      <c r="EC4" s="4" t="s">
        <v>443</v>
      </c>
      <c r="ED4" s="5" t="s">
        <v>444</v>
      </c>
      <c r="EE4" s="5" t="s">
        <v>445</v>
      </c>
      <c r="EF4" s="18" t="s">
        <v>446</v>
      </c>
      <c r="EG4" s="4" t="s">
        <v>443</v>
      </c>
      <c r="EH4" s="5" t="s">
        <v>444</v>
      </c>
      <c r="EI4" s="5" t="s">
        <v>445</v>
      </c>
      <c r="EJ4" s="18" t="s">
        <v>446</v>
      </c>
      <c r="EK4" s="4" t="s">
        <v>443</v>
      </c>
      <c r="EL4" s="5" t="s">
        <v>444</v>
      </c>
      <c r="EM4" s="5" t="s">
        <v>445</v>
      </c>
      <c r="EN4" s="18" t="s">
        <v>446</v>
      </c>
      <c r="EO4" s="202" t="s">
        <v>445</v>
      </c>
      <c r="EP4" s="203" t="s">
        <v>289</v>
      </c>
      <c r="EQ4" s="203" t="s">
        <v>287</v>
      </c>
      <c r="ER4" s="204" t="s">
        <v>447</v>
      </c>
      <c r="ES4" s="204" t="s">
        <v>448</v>
      </c>
      <c r="ET4" s="203" t="s">
        <v>449</v>
      </c>
      <c r="EU4" s="5" t="s">
        <v>564</v>
      </c>
      <c r="EV4" s="5" t="s">
        <v>566</v>
      </c>
      <c r="EW4" s="5" t="s">
        <v>572</v>
      </c>
      <c r="EX4" s="5" t="s">
        <v>573</v>
      </c>
      <c r="EY4" s="5" t="s">
        <v>574</v>
      </c>
      <c r="EZ4" s="4" t="s">
        <v>443</v>
      </c>
      <c r="FA4" s="5" t="s">
        <v>444</v>
      </c>
      <c r="FB4" s="5" t="s">
        <v>445</v>
      </c>
      <c r="FC4" s="18" t="s">
        <v>446</v>
      </c>
      <c r="FD4" s="4" t="s">
        <v>443</v>
      </c>
      <c r="FE4" s="5" t="s">
        <v>444</v>
      </c>
      <c r="FF4" s="5" t="s">
        <v>445</v>
      </c>
      <c r="FG4" s="18" t="s">
        <v>446</v>
      </c>
      <c r="FH4" s="4" t="s">
        <v>443</v>
      </c>
      <c r="FI4" s="5" t="s">
        <v>444</v>
      </c>
      <c r="FJ4" s="5" t="s">
        <v>445</v>
      </c>
      <c r="FK4" s="18" t="s">
        <v>446</v>
      </c>
      <c r="FL4" s="4" t="s">
        <v>443</v>
      </c>
      <c r="FM4" s="5" t="s">
        <v>444</v>
      </c>
      <c r="FN4" s="5" t="s">
        <v>445</v>
      </c>
      <c r="FO4" s="18" t="s">
        <v>446</v>
      </c>
      <c r="FP4" s="4" t="s">
        <v>443</v>
      </c>
      <c r="FQ4" s="5" t="s">
        <v>444</v>
      </c>
      <c r="FR4" s="5" t="s">
        <v>445</v>
      </c>
      <c r="FS4" s="18" t="s">
        <v>446</v>
      </c>
      <c r="FT4" s="4" t="s">
        <v>443</v>
      </c>
      <c r="FU4" s="5" t="s">
        <v>444</v>
      </c>
      <c r="FV4" s="5" t="s">
        <v>445</v>
      </c>
      <c r="FW4" s="18" t="s">
        <v>446</v>
      </c>
      <c r="FX4" s="4" t="s">
        <v>443</v>
      </c>
      <c r="FY4" s="5" t="s">
        <v>444</v>
      </c>
      <c r="FZ4" s="5" t="s">
        <v>445</v>
      </c>
      <c r="GA4" s="18" t="s">
        <v>446</v>
      </c>
      <c r="GB4" s="4" t="s">
        <v>443</v>
      </c>
      <c r="GC4" s="5" t="s">
        <v>444</v>
      </c>
      <c r="GD4" s="5" t="s">
        <v>445</v>
      </c>
      <c r="GE4" s="18" t="s">
        <v>446</v>
      </c>
      <c r="GF4" s="4" t="s">
        <v>443</v>
      </c>
      <c r="GG4" s="5" t="s">
        <v>444</v>
      </c>
      <c r="GH4" s="5" t="s">
        <v>445</v>
      </c>
      <c r="GI4" s="18" t="s">
        <v>446</v>
      </c>
      <c r="GJ4" s="5" t="s">
        <v>443</v>
      </c>
      <c r="GK4" s="5" t="s">
        <v>444</v>
      </c>
      <c r="GL4" s="5" t="s">
        <v>445</v>
      </c>
      <c r="GM4" s="18" t="s">
        <v>446</v>
      </c>
      <c r="GN4" s="4" t="s">
        <v>443</v>
      </c>
      <c r="GO4" s="5" t="s">
        <v>444</v>
      </c>
      <c r="GP4" s="5" t="s">
        <v>445</v>
      </c>
      <c r="GQ4" s="18" t="s">
        <v>446</v>
      </c>
      <c r="GR4" s="4" t="s">
        <v>443</v>
      </c>
      <c r="GS4" s="5" t="s">
        <v>444</v>
      </c>
      <c r="GT4" s="5" t="s">
        <v>445</v>
      </c>
      <c r="GU4" s="18" t="s">
        <v>446</v>
      </c>
      <c r="GV4" s="4" t="s">
        <v>443</v>
      </c>
      <c r="GW4" s="5" t="s">
        <v>444</v>
      </c>
      <c r="GX4" s="5" t="s">
        <v>445</v>
      </c>
      <c r="GY4" s="18" t="s">
        <v>446</v>
      </c>
      <c r="GZ4" s="4" t="s">
        <v>443</v>
      </c>
      <c r="HA4" s="5" t="s">
        <v>444</v>
      </c>
      <c r="HB4" s="5" t="s">
        <v>445</v>
      </c>
      <c r="HC4" s="18" t="s">
        <v>446</v>
      </c>
      <c r="HD4" s="4" t="s">
        <v>443</v>
      </c>
      <c r="HE4" s="5" t="s">
        <v>444</v>
      </c>
      <c r="HF4" s="5" t="s">
        <v>445</v>
      </c>
      <c r="HG4" s="18" t="s">
        <v>446</v>
      </c>
      <c r="HH4" s="4" t="s">
        <v>443</v>
      </c>
      <c r="HI4" s="5" t="s">
        <v>444</v>
      </c>
      <c r="HJ4" s="5" t="s">
        <v>445</v>
      </c>
      <c r="HK4" s="18" t="s">
        <v>446</v>
      </c>
      <c r="HL4" s="4" t="s">
        <v>443</v>
      </c>
      <c r="HM4" s="5" t="s">
        <v>444</v>
      </c>
      <c r="HN4" s="5" t="s">
        <v>445</v>
      </c>
      <c r="HO4" s="18" t="s">
        <v>446</v>
      </c>
      <c r="HP4" s="4" t="s">
        <v>443</v>
      </c>
      <c r="HQ4" s="5" t="s">
        <v>444</v>
      </c>
      <c r="HR4" s="5" t="s">
        <v>445</v>
      </c>
      <c r="HS4" s="18" t="s">
        <v>446</v>
      </c>
      <c r="HT4" s="4" t="s">
        <v>443</v>
      </c>
      <c r="HU4" s="5" t="s">
        <v>444</v>
      </c>
      <c r="HV4" s="5" t="s">
        <v>445</v>
      </c>
      <c r="HW4" s="18" t="s">
        <v>446</v>
      </c>
      <c r="HX4" s="4" t="s">
        <v>443</v>
      </c>
      <c r="HY4" s="5" t="s">
        <v>444</v>
      </c>
      <c r="HZ4" s="5" t="s">
        <v>445</v>
      </c>
      <c r="IA4" s="18" t="s">
        <v>446</v>
      </c>
      <c r="IB4" s="4" t="s">
        <v>443</v>
      </c>
      <c r="IC4" s="5" t="s">
        <v>444</v>
      </c>
      <c r="ID4" s="5" t="s">
        <v>445</v>
      </c>
      <c r="IE4" s="18" t="s">
        <v>446</v>
      </c>
      <c r="IF4" s="4" t="s">
        <v>443</v>
      </c>
      <c r="IG4" s="5" t="s">
        <v>444</v>
      </c>
      <c r="IH4" s="5" t="s">
        <v>445</v>
      </c>
      <c r="II4" s="18" t="s">
        <v>446</v>
      </c>
      <c r="IJ4" s="4" t="s">
        <v>443</v>
      </c>
      <c r="IK4" s="5" t="s">
        <v>444</v>
      </c>
      <c r="IL4" s="5" t="s">
        <v>445</v>
      </c>
      <c r="IM4" s="18" t="s">
        <v>446</v>
      </c>
      <c r="IN4" s="4" t="s">
        <v>443</v>
      </c>
      <c r="IO4" s="5" t="s">
        <v>444</v>
      </c>
      <c r="IP4" s="5" t="s">
        <v>445</v>
      </c>
      <c r="IQ4" s="18" t="s">
        <v>446</v>
      </c>
      <c r="IR4" s="4" t="s">
        <v>443</v>
      </c>
      <c r="IS4" s="5" t="s">
        <v>444</v>
      </c>
      <c r="IT4" s="5" t="s">
        <v>445</v>
      </c>
      <c r="IU4" s="18" t="s">
        <v>446</v>
      </c>
      <c r="IV4" s="4" t="s">
        <v>443</v>
      </c>
      <c r="IW4" s="5" t="s">
        <v>444</v>
      </c>
      <c r="IX4" s="5" t="s">
        <v>445</v>
      </c>
      <c r="IY4" s="5" t="s">
        <v>446</v>
      </c>
      <c r="IZ4" s="4" t="s">
        <v>443</v>
      </c>
      <c r="JA4" s="5" t="s">
        <v>444</v>
      </c>
      <c r="JB4" s="5" t="s">
        <v>445</v>
      </c>
      <c r="JC4" s="18" t="s">
        <v>446</v>
      </c>
      <c r="JD4" s="4" t="s">
        <v>443</v>
      </c>
      <c r="JE4" s="5" t="s">
        <v>444</v>
      </c>
      <c r="JF4" s="5" t="s">
        <v>445</v>
      </c>
      <c r="JG4" s="18" t="s">
        <v>446</v>
      </c>
      <c r="JH4" s="4" t="s">
        <v>443</v>
      </c>
      <c r="JI4" s="5" t="s">
        <v>444</v>
      </c>
      <c r="JJ4" s="5" t="s">
        <v>445</v>
      </c>
      <c r="JK4" s="18" t="s">
        <v>446</v>
      </c>
      <c r="JL4" s="4" t="s">
        <v>443</v>
      </c>
      <c r="JM4" s="5" t="s">
        <v>444</v>
      </c>
      <c r="JN4" s="5" t="s">
        <v>445</v>
      </c>
      <c r="JO4" s="18" t="s">
        <v>446</v>
      </c>
      <c r="JP4" s="4" t="s">
        <v>443</v>
      </c>
      <c r="JQ4" s="5" t="s">
        <v>444</v>
      </c>
      <c r="JR4" s="5" t="s">
        <v>445</v>
      </c>
      <c r="JS4" s="18" t="s">
        <v>446</v>
      </c>
      <c r="JT4" s="4" t="s">
        <v>443</v>
      </c>
      <c r="JU4" s="5" t="s">
        <v>444</v>
      </c>
      <c r="JV4" s="5" t="s">
        <v>445</v>
      </c>
      <c r="JW4" s="18" t="s">
        <v>446</v>
      </c>
      <c r="JX4" s="4" t="s">
        <v>443</v>
      </c>
      <c r="JY4" s="5" t="s">
        <v>444</v>
      </c>
      <c r="JZ4" s="5" t="s">
        <v>445</v>
      </c>
      <c r="KA4" s="18" t="s">
        <v>446</v>
      </c>
      <c r="KB4" s="4" t="s">
        <v>443</v>
      </c>
      <c r="KC4" s="5" t="s">
        <v>444</v>
      </c>
      <c r="KD4" s="5" t="s">
        <v>445</v>
      </c>
      <c r="KE4" s="18" t="s">
        <v>446</v>
      </c>
      <c r="KF4" s="4" t="s">
        <v>443</v>
      </c>
      <c r="KG4" s="5" t="s">
        <v>444</v>
      </c>
      <c r="KH4" s="5" t="s">
        <v>445</v>
      </c>
      <c r="KI4" s="18" t="s">
        <v>446</v>
      </c>
      <c r="KJ4" s="4" t="s">
        <v>443</v>
      </c>
      <c r="KK4" s="5" t="s">
        <v>444</v>
      </c>
      <c r="KL4" s="5" t="s">
        <v>445</v>
      </c>
      <c r="KM4" s="5" t="s">
        <v>446</v>
      </c>
      <c r="KN4" s="4" t="s">
        <v>443</v>
      </c>
      <c r="KO4" s="5" t="s">
        <v>444</v>
      </c>
      <c r="KP4" s="5" t="s">
        <v>445</v>
      </c>
      <c r="KQ4" s="18" t="s">
        <v>446</v>
      </c>
      <c r="KR4" s="4" t="s">
        <v>443</v>
      </c>
      <c r="KS4" s="5" t="s">
        <v>444</v>
      </c>
      <c r="KT4" s="5" t="s">
        <v>445</v>
      </c>
      <c r="KU4" s="18" t="s">
        <v>446</v>
      </c>
      <c r="KV4" s="4" t="s">
        <v>443</v>
      </c>
      <c r="KW4" s="5" t="s">
        <v>444</v>
      </c>
      <c r="KX4" s="5" t="s">
        <v>445</v>
      </c>
      <c r="KY4" s="18" t="s">
        <v>446</v>
      </c>
      <c r="KZ4" s="4" t="s">
        <v>443</v>
      </c>
      <c r="LA4" s="5" t="s">
        <v>444</v>
      </c>
      <c r="LB4" s="5" t="s">
        <v>445</v>
      </c>
      <c r="LC4" s="18" t="s">
        <v>446</v>
      </c>
      <c r="LD4" s="4" t="s">
        <v>443</v>
      </c>
      <c r="LE4" s="5" t="s">
        <v>444</v>
      </c>
      <c r="LF4" s="5" t="s">
        <v>445</v>
      </c>
      <c r="LG4" s="18" t="s">
        <v>446</v>
      </c>
      <c r="LH4" s="4" t="s">
        <v>443</v>
      </c>
      <c r="LI4" s="5" t="s">
        <v>444</v>
      </c>
      <c r="LJ4" s="5" t="s">
        <v>445</v>
      </c>
      <c r="LK4" s="18" t="s">
        <v>446</v>
      </c>
      <c r="LL4" s="4" t="s">
        <v>443</v>
      </c>
      <c r="LM4" s="5" t="s">
        <v>444</v>
      </c>
      <c r="LN4" s="5" t="s">
        <v>445</v>
      </c>
      <c r="LO4" s="18" t="s">
        <v>446</v>
      </c>
      <c r="LP4" s="4" t="s">
        <v>443</v>
      </c>
      <c r="LQ4" s="5" t="s">
        <v>444</v>
      </c>
      <c r="LR4" s="5" t="s">
        <v>445</v>
      </c>
      <c r="LS4" s="18" t="s">
        <v>446</v>
      </c>
      <c r="LT4" s="202" t="s">
        <v>445</v>
      </c>
      <c r="LU4" s="203" t="s">
        <v>289</v>
      </c>
      <c r="LV4" s="203" t="s">
        <v>287</v>
      </c>
      <c r="LW4" s="204" t="s">
        <v>447</v>
      </c>
      <c r="LX4" s="204" t="s">
        <v>448</v>
      </c>
      <c r="LY4" s="203" t="s">
        <v>449</v>
      </c>
      <c r="LZ4" s="5" t="s">
        <v>564</v>
      </c>
      <c r="MA4" s="207" t="s">
        <v>566</v>
      </c>
      <c r="MB4" s="5" t="s">
        <v>572</v>
      </c>
      <c r="MC4" s="5" t="s">
        <v>573</v>
      </c>
      <c r="MD4" s="5" t="s">
        <v>574</v>
      </c>
    </row>
    <row r="5" spans="1:342" x14ac:dyDescent="0.25">
      <c r="A5">
        <f ca="1">ROUND(IFERROR(IF(Simulate!$C$14=1,1,(IF(Simulate!$C$16="",_xlfn.NORM.INV(RAND(),(Simulate!$D$16-Simulate!$B$16)/2,LN(STDEV(Simulate!$D$16,Simulate!$B$16))),_xlfn.NORM.INV(RAND(),(Simulate!$B$16+(4*Simulate!$C$16)+Simulate!$D$16)/6,LN(STDEV(Simulate!$D$16,Simulate!$B$16)))))),0),2)</f>
        <v>0</v>
      </c>
      <c r="B5">
        <f ca="1">ROUND(IFERROR(IF(Simulate!$C$14=1,1,IF(Simulate!$C$16="",_xlfn.NORM.INV(RAND(),(Simulate!$D$16-Simulate!$B$16)/2,(LN(Simulate!$D$16)-LN(Simulate!$B$16))/3.29),_xlfn.NORM.INV(RAND(),(Simulate!$B$16+(4*Simulate!$C$16)+Simulate!$D$16)/6,(LN(Simulate!$D$16)-LN(Simulate!$B$16))/3.29))),0),2)</f>
        <v>0</v>
      </c>
      <c r="C5">
        <f ca="1">ROUND(IFERROR(IF(OR(Simulate!$B$16=0,Simulate!$D$16=0),ROUND(IFERROR(IF(Simulate!$C$16="",(Simulate!$B$16+4*(AVERAGE(Simulate!$D$16,Simulate!$B$16))+Simulate!$D$16)/6,((Simulate!$B$16+(4*Simulate!$C$16)+Simulate!$D$16)/6)),0),2),(IF(Simulate!$C$14=1,1,IF(Simulate!$C$16="",_xlfn.LOGNORM.INV(RAND(),(LN(Simulate!$D$16)-LN(Simulate!$B$16))/2,(LN(Simulate!$D$16)-LN(Simulate!$B$16))/3.29),_xlfn.LOGNORM.INV(RAND(),(LN(Simulate!$B$16)+(4*LN(Simulate!$C$16))+LN(Simulate!$D$16))/6,(LN(Simulate!$D$16)-LN(Simulate!$B$16))/3.29))))),0),2)</f>
        <v>0</v>
      </c>
      <c r="D5">
        <f ca="1">ROUND(IFERROR(IF(Simulate!$C$14=1,1,(IF(Simulate!$C$16="",RAND()*(Simulate!$D$16-Simulate!$B$16)+Simulate!$B$16,(Simulate!$C$16+IF(RAND()&gt;0.5,RAND()*(Simulate!$D$16-Simulate!$C$16),RAND()*(Simulate!$B$16-Simulate!$C$16)))))),0),2)</f>
        <v>0</v>
      </c>
      <c r="E5" s="15">
        <f ca="1">IF(ROUND(IFERROR(IF(Simulate!$C$21=1,1,(IF(Simulate!$C$21="",_xlfn.NORM.INV(RAND(),(Simulate!$D$21-Simulate!$B$21)/2,STDEV(Simulate!$D$21,Simulate!$B$21)),_xlfn.NORM.INV(RAND(),(Simulate!$B$21+(4*Simulate!$C$21)+Simulate!$D$21)/6,STDEV(Simulate!$D$21,Simulate!$B$21))))),0),2)=0,1,ROUND(IFERROR(IF(Simulate!$C$21=1,1,(IF(Simulate!$C$21="",_xlfn.NORM.INV(RAND(),(Simulate!$D$21-Simulate!$B$21)/2,STDEV(Simulate!$D$21,Simulate!$B$21)),_xlfn.NORM.INV(RAND(),(Simulate!$B$21+(4*Simulate!$C$21)+Simulate!$D$21)/6,STDEV(Simulate!$D$21,Simulate!$B$21))))),0),2))</f>
        <v>1</v>
      </c>
      <c r="F5" s="15">
        <f ca="1">IF(ROUND(IFERROR(IF(Simulate!$C$21=1,1,(IF(Simulate!$C$21="",_xlfn.NORM.INV(RAND(),(Simulate!$D$21-Simulate!$B$21)/2,(Simulate!$D$21-Simulate!$B$21)/3.29),_xlfn.NORM.INV(RAND(),(Simulate!$B$21+(4*Simulate!$C$21)+Simulate!$D$21)/6,(Simulate!$D$21-Simulate!$B$21)/3.29)))),0),2)=0,1,ROUND(IFERROR(IF(Simulate!$C$21=1,1,(IF(Simulate!$C$21="",_xlfn.NORM.INV(RAND(),(Simulate!$D$21-Simulate!$B$21)/2,(Simulate!$D$21-Simulate!$B$21)/3.29),_xlfn.NORM.INV(RAND(),(Simulate!$B$21+(4*Simulate!$C$21)+Simulate!$D$21)/6,(Simulate!$D$21-Simulate!$B$21)/3.29)))),0),2))</f>
        <v>1</v>
      </c>
      <c r="G5" s="22">
        <f ca="1">IFERROR(ROUND(IF(Simulate!$C$21="-",_xlfn.LOGNORM.INV(RAND(),(LN(Simulate!$B$21)+LN(Simulate!$D$21))/2,(LN(Simulate!$D$21)-LN(Simulate!$B$21))/3.29),_xlfn.LOGNORM.INV(RAND(),(LN(Simulate!$B$21)+(4*LN(Simulate!$C$21))+LN(Simulate!$D$21))/6,(LN(Simulate!$D$21)-LN(Simulate!$B$21))/3.29)),2),1)</f>
        <v>1</v>
      </c>
      <c r="H5" s="15">
        <f ca="1">IF(ROUND(IFERROR(IF(Simulate!$C$21=1,1,(IF(Simulate!$C$21="",RAND()*(Simulate!$D$21-Simulate!$B$21)+Simulate!$B$21,(Simulate!$C$21+IF(RAND()&gt;0.5,RAND()*(Simulate!$D$21-Simulate!$C$21),RAND()*(Simulate!$B$21-Simulate!$C$21)))))),0),2)=0,1,ROUND(IFERROR(IF(Simulate!$C$21=1,1,(IF(Simulate!$C$21="",RAND()*(Simulate!$D$21-Simulate!$B$21)+Simulate!$B$21,(Simulate!$C$21+IF(RAND()&gt;0.5,RAND()*(Simulate!$D$21-Simulate!$C$21),RAND()*(Simulate!$B$21-Simulate!$C$21)))))),0),2))</f>
        <v>1</v>
      </c>
      <c r="I5" s="15">
        <f ca="1">IF(ROUND(IFERROR(IF(Simulate!$C$23=1,1,IF(Simulate!$C$26="",_xlfn.NORM.INV(RAND(),(Simulate!$D$26-Simulate!$B$26)/2,STDEV(Simulate!$D$26,Simulate!$B$26)),_xlfn.NORM.INV(RAND(),(Simulate!$B$26+(4*Simulate!$C$26)+Simulate!$D$26)/6,STDEV(Simulate!$D$26,Simulate!$B$26)))),0),2)=0,1,(ROUND(IFERROR(IF(Simulate!$C$23=1,1,IF(Simulate!$C$26="",_xlfn.NORM.INV(RAND(),(Simulate!$D$26-Simulate!$B$26)/2,STDEV(Simulate!$D$26,Simulate!$B$26)),_xlfn.NORM.INV(RAND(),(Simulate!$B$26+(4*Simulate!$C$26)+Simulate!$D$26)/6,STDEV(Simulate!$D$26,Simulate!$B$26)))),0),2)))</f>
        <v>1</v>
      </c>
      <c r="J5" s="15">
        <f ca="1">IF(ROUND(IFERROR(IF(Simulate!$C$23=1,1,(IF(Simulate!$C$26="",_xlfn.NORM.INV(RAND(),(Simulate!$D$26-Simulate!$B$26)/2,(Simulate!$D$26-Simulate!$B$26)/3.29),_xlfn.NORM.INV(RAND(),(Simulate!$B$26+(4*Simulate!$C$26)+Simulate!$D$26)/6,(Simulate!$D$26-Simulate!$B$26)/3.29)))),0),2)=0,1,ROUND(IFERROR(IF(Simulate!$C$23=1,1,(IF(Simulate!$C$26="",_xlfn.NORM.INV(RAND(),(Simulate!$D$26-Simulate!$B$26)/2,(Simulate!$D$26-Simulate!$B$26)/3.29),_xlfn.NORM.INV(RAND(),(Simulate!$B$26+(4*Simulate!$C$26)+Simulate!$D$26)/6,(Simulate!$D$26-Simulate!$B$26)/3.29)))),0),2))</f>
        <v>1</v>
      </c>
      <c r="K5" s="22">
        <f ca="1">IF(ROUND(IFERROR(IF(Simulate!$C$23=1,1,(IF(Simulate!$C$26="",_xlfn.LOGNORM.INV(RAND(),(LN(Simulate!$D$26)+LN(Simulate!$B$26))/2,(LN(Simulate!$D$26)-LN(Simulate!$B$26))/3.29),_xlfn.LOGNORM.INV(RAND(),((LN(Simulate!$B$26)+(4*LN(Simulate!$C$26))+LN(Simulate!$D$26))/6),(LN(Simulate!$D$26)-LN(Simulate!$B$26))/3.29)))),0),2)=0,1,ROUND(IFERROR(IF(Simulate!$C$23=1,1,(IF(Simulate!$C$26="",_xlfn.LOGNORM.INV(RAND(),(LN(Simulate!$D$26)+LN(Simulate!$B$26))/2,(LN(Simulate!$D$26)-LN(Simulate!$B$26))/3.29),_xlfn.LOGNORM.INV(RAND(),((LN(Simulate!$B$26)+(4*LN(Simulate!$C$26))+LN(Simulate!$D$26))/6),(LN(Simulate!$D$26)-LN(Simulate!$B$26))/3.29)))),0),2))</f>
        <v>1</v>
      </c>
      <c r="L5" s="15">
        <f ca="1">IF(ROUND(IFERROR(IF(Simulate!$C$23=1,1,(IF(Simulate!$C$26="",RAND()*(Simulate!$D$26-Simulate!$B$26)+Simulate!$B$26,(Simulate!$C$26+IF(RAND()&gt;0.5,RAND()*(Simulate!$D$26-Simulate!$C$26),RAND()*(Simulate!$B$26-Simulate!$C$26)))))),0),2)=0,1,ROUND(IFERROR(IF(Simulate!$C$23=1,1,(IF(Simulate!$C$26="",RAND()*(Simulate!$D$26-Simulate!$B$26)+Simulate!$B$26,(Simulate!$C$26+IF(RAND()&gt;0.5,RAND()*(Simulate!$D$26-Simulate!$C$26),RAND()*(Simulate!$B$26-Simulate!$C$26)))))),0),2))</f>
        <v>1</v>
      </c>
      <c r="M5">
        <f ca="1">ROUND(A5*E5*I5,2)</f>
        <v>0</v>
      </c>
      <c r="N5">
        <f ca="1">ROUND(B5*F5*J5,2)</f>
        <v>0</v>
      </c>
      <c r="O5">
        <f ca="1">ROUND(C5*G5*K5,2)</f>
        <v>0</v>
      </c>
      <c r="P5">
        <f ca="1">ROUND(D5*H5*L5,2)</f>
        <v>0</v>
      </c>
      <c r="Q5" s="23">
        <f ca="1">ROUND(IFERROR(IF(Simulate!$G$32=1,1,(IF(Simulate!$E$32="",_xlfn.NORM.INV(RAND(),(Simulate!$F$32-Simulate!$D$32)/2,LN(STDEV(Simulate!$F$32,Simulate!$D$32))),_xlfn.NORM.INV(RAND(),(Simulate!$D$32+(4*Simulate!$E$32)+Simulate!$F$32)/6,LN(STDEV(Simulate!$F$32,Simulate!$D$32)))))),0),2)</f>
        <v>0</v>
      </c>
      <c r="R5">
        <f ca="1">ROUND(IFERROR(IF(Simulate!$G$32=1,1,IF(Simulate!$E$32="",_xlfn.NORM.INV(RAND(),(Simulate!$F$32-Simulate!$D$32)/2,(LN(Simulate!$F$32)-LN(Simulate!$D$32))/3.29),_xlfn.NORM.INV(RAND(),(Simulate!$D$32+(4*Simulate!$E$32)+Simulate!$F$32)/6,(LN(Simulate!$F$32)-LN(Simulate!$D$32))/3.29))),0),2)</f>
        <v>0</v>
      </c>
      <c r="S5">
        <f ca="1">ROUND(IFERROR(IF(Simulate!$G$32=1,1,(IF(Simulate!$E$32="",_xlfn.LOGNORM.INV(RAND(),(LN(Simulate!$F$32)+LN(Simulate!$D$32))/2,(LN(Simulate!$F$32)-LN(Simulate!$D$32))/3.29),_xlfn.LOGNORM.INV(RAND(),((LN(Simulate!$D$32)+(4*LN(Simulate!$E$32))+LN(Simulate!$F$32))/6),(LN(Simulate!$F$32)-LN(Simulate!$D$32))/3.29)))),0),2)</f>
        <v>0</v>
      </c>
      <c r="T5">
        <f ca="1">ROUND(IFERROR(IF(Simulate!$G$32=1,1,(IF(Simulate!$E$32="",RAND()*(Simulate!$F$32-Simulate!$D$32)+Simulate!$D$32,(Simulate!$E$32+IF(RAND()&gt;0.5,RAND()*(Simulate!$F$32-Simulate!$E$32),RAND()*(Simulate!$D$32-Simulate!$E$32)))))),0),2)</f>
        <v>0</v>
      </c>
      <c r="U5" s="23">
        <f ca="1">ROUND(IFERROR(IF(Simulate!$E$33="",_xlfn.NORM.INV(RAND(),(Simulate!$F$33-Simulate!$D$33)/2,LN(STDEV(Simulate!$F$33,Simulate!$D$33))),_xlfn.NORM.INV(RAND(),(Simulate!$D$33+(4*Simulate!$E$33)+Simulate!$F$33)/6,LN(STDEV(Simulate!$F$33,Simulate!$D$33)))),0),2)</f>
        <v>0</v>
      </c>
      <c r="V5">
        <f ca="1">ROUND(IFERROR(IF(Simulate!$G$33=1,1,IF(Simulate!$E$33="",_xlfn.NORM.INV(RAND(),(Simulate!$F$33-Simulate!$D$33)/2,(LN(Simulate!$F$33)-LN(Simulate!$D$33))/3.29),_xlfn.NORM.INV(RAND(),(Simulate!$D$33+(4*Simulate!$E$33)+Simulate!$F$33)/6,(LN(Simulate!$F$33)-LN(Simulate!$D$33))/3.29))),0),2)</f>
        <v>0</v>
      </c>
      <c r="W5">
        <f ca="1">ROUND(IFERROR(IF(Simulate!$G$33=1,1,(IF(Simulate!$E$33="",_xlfn.LOGNORM.INV(RAND(),(LN(Simulate!$F$33)+LN(Simulate!$D$33))/2,(LN(Simulate!$F$33)-LN(Simulate!$D$33))/3.29),_xlfn.LOGNORM.INV(RAND(),((LN(Simulate!$D$33)+(4*LN(Simulate!$E$33))+LN(Simulate!$F$33))/6),(LN(Simulate!$F$33)-LN(Simulate!$D$33))/3.29)))),0),2)</f>
        <v>0</v>
      </c>
      <c r="X5">
        <f ca="1">ROUND(IFERROR(IF(Simulate!$G$33=1,1,(IF(Simulate!$E$33="",RAND()*(Simulate!$F$33-Simulate!$D$33)+Simulate!$D$33,(Simulate!$E$33+IF(RAND()&gt;0.5,RAND()*(Simulate!$F$33-Simulate!$E$33),RAND()*(Simulate!$D$33-Simulate!$E$33)))))),0),2)</f>
        <v>0</v>
      </c>
      <c r="Y5">
        <f ca="1">ROUND(IFERROR(IF(Simulate!$E$34="",_xlfn.NORM.INV(RAND(),(Simulate!$F$34-Simulate!$D$34)/2,LN(STDEV(Simulate!$F$34,Simulate!$D$34))),_xlfn.NORM.INV(RAND(),(Simulate!$D$34+(4*Simulate!$E$34)+Simulate!$F$34)/6,LN(STDEV(Simulate!$F$34,Simulate!$D$34)))),0),2)</f>
        <v>0</v>
      </c>
      <c r="Z5">
        <f ca="1">ROUND(IFERROR(IF(Simulate!$G$34=1,1,IF(Simulate!$E$34="",_xlfn.NORM.INV(RAND(),(Simulate!$F$34-Simulate!$D$34)/2,(LN(Simulate!$F$34)-LN(Simulate!$D$34))/3.29),_xlfn.NORM.INV(RAND(),(Simulate!$D$34+(4*Simulate!$E$34)+Simulate!$F$34)/6,(LN(Simulate!$F$34)-LN(Simulate!$D$34))/3.29))),0),2)</f>
        <v>0</v>
      </c>
      <c r="AA5">
        <f ca="1">ROUND(IFERROR(IF(Simulate!$G$34=1,1,(IF(Simulate!$E$34="",_xlfn.LOGNORM.INV(RAND(),(LN(Simulate!$F$34)+LN(Simulate!$D$34))/2,(LN(Simulate!$F$34)-LN(Simulate!$D$34))/3.29),_xlfn.LOGNORM.INV(RAND(),((LN(Simulate!$D$34)+(4*LN(Simulate!$E$34))+LN(Simulate!$F$34))/6),(LN(Simulate!$F$34)-LN(Simulate!$D$34))/3.29)))),0),2)</f>
        <v>0</v>
      </c>
      <c r="AB5">
        <f ca="1">ROUND(IFERROR(IF(Simulate!$G$34=1,1,(IF(Simulate!$E$34="",RAND()*(Simulate!$F$34-Simulate!$D$34)+Simulate!$D$34,(Simulate!$E$34+IF(RAND()&gt;0.5,RAND()*(Simulate!$F$34-Simulate!$E$34),RAND()*(Simulate!$D$34-Simulate!$E$34)))))),0),2)</f>
        <v>0</v>
      </c>
      <c r="AC5">
        <f ca="1">ROUND(IFERROR(IF(Simulate!$E$35="",_xlfn.NORM.INV(RAND(),(Simulate!$F$35-Simulate!$D$35)/2,LN(STDEV(Simulate!$F$35,Simulate!$D$35))),_xlfn.NORM.INV(RAND(),(Simulate!$D$35+(4*Simulate!$E$35)+Simulate!$F$35)/6,LN(STDEV(Simulate!$F$35,Simulate!$D$35)))),0),2)</f>
        <v>0</v>
      </c>
      <c r="AD5">
        <f ca="1">ROUND(IFERROR(IF(Simulate!$G$35=1,1,IF(Simulate!$E$35="",_xlfn.NORM.INV(RAND(),(Simulate!$F$35-Simulate!$D$35)/2,(LN(Simulate!$F$35)-LN(Simulate!$D$35))/3.29),_xlfn.NORM.INV(RAND(),(Simulate!$D$35+(4*Simulate!$E$35)+Simulate!$F$35)/6,(LN(Simulate!$F$35)-LN(Simulate!$D$35))/3.29))),0),2)</f>
        <v>0</v>
      </c>
      <c r="AE5">
        <f ca="1">ROUND(IFERROR(IF(Simulate!$G$35=1,1,(IF(Simulate!$E$35="",_xlfn.LOGNORM.INV(RAND(),(LN(Simulate!$F$35)+LN(Simulate!$D$35))/2,(LN(Simulate!$F$35)-LN(Simulate!$D$35))/3.29),_xlfn.LOGNORM.INV(RAND(),((LN(Simulate!$D$35)+(4*LN(Simulate!$E$35))+LN(Simulate!$F$35))/6),(LN(Simulate!$F$35)-LN(Simulate!$D$35))/3.29)))),0),2)</f>
        <v>0</v>
      </c>
      <c r="AF5">
        <f ca="1">ROUND(IFERROR(IF(Simulate!$G$35=1,1,(IF(Simulate!$E$35="",RAND()*(Simulate!$F$35-Simulate!$D$35)+Simulate!$D$35,(Simulate!$E$35+IF(RAND()&gt;0.5,RAND()*(Simulate!$F$35-Simulate!$E$35),RAND()*(Simulate!$D$35-Simulate!$E$35)))))),0),2)</f>
        <v>0</v>
      </c>
      <c r="AG5">
        <f ca="1">ROUND(IFERROR(IF(Simulate!$E$36="",_xlfn.NORM.INV(RAND(),(Simulate!$F$36-Simulate!$D$36)/2,LN(STDEV(Simulate!$F$36,Simulate!$D$36))),_xlfn.NORM.INV(RAND(),(Simulate!$D$36+(4*Simulate!$E$36)+Simulate!$F$36)/6,LN(STDEV(Simulate!$F$36,Simulate!$D$36)))),0),2)</f>
        <v>0</v>
      </c>
      <c r="AH5">
        <f ca="1">ROUND(IFERROR(IF(Simulate!$G$36=1,1,IF(Simulate!$E$36="",_xlfn.NORM.INV(RAND(),(Simulate!$F$36-Simulate!$D$36)/2,(LN(Simulate!$F$36)-LN(Simulate!$D$36))/3.29),_xlfn.NORM.INV(RAND(),(Simulate!$D$36+(4*Simulate!$E$36)+Simulate!$F$36)/6,(LN(Simulate!$F$36)-LN(Simulate!$D$36))/3.29))),0),2)</f>
        <v>0</v>
      </c>
      <c r="AI5">
        <f ca="1">ROUND(IFERROR(IF(Simulate!$G$36=1,1,(IF(Simulate!$E$36="",_xlfn.LOGNORM.INV(RAND(),(LN(Simulate!$F$36)+LN(Simulate!$D$36))/2,(LN(Simulate!$F$36)-LN(Simulate!$D$36))/3.29),_xlfn.LOGNORM.INV(RAND(),((LN(Simulate!$D$36)+(4*LN(Simulate!$E$36))+LN(Simulate!$F$36))/6),(LN(Simulate!$F$36)-LN(Simulate!$D$36))/3.29)))),0),2)</f>
        <v>0</v>
      </c>
      <c r="AJ5">
        <f ca="1">ROUND(IFERROR(IF(Simulate!$G$36=1,1,(IF(Simulate!$E$36="",RAND()*(Simulate!$F$36-Simulate!$D$36)+Simulate!$D$36,(Simulate!$E$36+IF(RAND()&gt;0.5,RAND()*(Simulate!$F$36-Simulate!$E$36),RAND()*(Simulate!$D$36-Simulate!$E$36)))))),0),2)</f>
        <v>0</v>
      </c>
      <c r="AK5">
        <f ca="1">ROUND(IFERROR(IF(Simulate!$E$37="",_xlfn.NORM.INV(RAND(),(Simulate!$F$37-Simulate!$D$37)/2,LN(STDEV(Simulate!$F$37,Simulate!$D$37))),_xlfn.NORM.INV(RAND(),(Simulate!$D$37+(4*Simulate!$E$37)+Simulate!$F$37)/6,LN(STDEV(Simulate!$F$37,Simulate!$D$37)))),0),2)</f>
        <v>0</v>
      </c>
      <c r="AL5">
        <f ca="1">ROUND(IFERROR(IF(Simulate!$G$37=1,1,IF(Simulate!$E$37="",_xlfn.NORM.INV(RAND(),(Simulate!$F$37-Simulate!$D$37)/2,(LN(Simulate!$F$37)-LN(Simulate!$D$37))/3.29),_xlfn.NORM.INV(RAND(),(Simulate!$D$37+(4*Simulate!$E$37)+Simulate!$F$37)/6,(LN(Simulate!$F$37)-LN(Simulate!$D$37))/3.29))),0),2)</f>
        <v>0</v>
      </c>
      <c r="AM5">
        <f ca="1">ROUND(IFERROR(IF(Simulate!$G$37=1,1,(IF(Simulate!$E$37="",_xlfn.LOGNORM.INV(RAND(),(LN(Simulate!$F$37)+LN(Simulate!$D$37))/2,(LN(Simulate!$F$37)-LN(Simulate!$D$37))/3.29),_xlfn.LOGNORM.INV(RAND(),((LN(Simulate!$D$37)+(4*LN(Simulate!$E$37))+LN(Simulate!$F$37))/6),(LN(Simulate!$F$37)-LN(Simulate!$D$37))/3.29)))),0),2)</f>
        <v>0</v>
      </c>
      <c r="AN5">
        <f ca="1">ROUND(IFERROR(IF(Simulate!$G$37=1,1,(IF(Simulate!$E$37="",RAND()*(Simulate!$F$37-Simulate!$D$37)+Simulate!$D$37,(Simulate!$E$37+IF(RAND()&gt;0.5,RAND()*(Simulate!$F$37-Simulate!$E$37),RAND()*(Simulate!$D$37-Simulate!$E$37)))))),0),2)</f>
        <v>0</v>
      </c>
      <c r="AO5">
        <f ca="1">ROUND(IFERROR(IF(Simulate!$E$38="",_xlfn.NORM.INV(RAND(),(Simulate!$F$38-Simulate!$D$38)/2,LN(STDEV(Simulate!$F$38,Simulate!$D$38))),_xlfn.NORM.INV(RAND(),(Simulate!$D$38+(4*Simulate!$E$38)+Simulate!$F$38)/6,LN(STDEV(Simulate!$F$38,Simulate!$D$38)))),0),2)</f>
        <v>0</v>
      </c>
      <c r="AP5">
        <f ca="1">ROUND(IFERROR(IF(Simulate!$G$38=1,1,IF(Simulate!$E$38="",_xlfn.NORM.INV(RAND(),(Simulate!$F$38-Simulate!$D$38)/2,(LN(Simulate!$F$38)-LN(Simulate!$D$38))/3.29),_xlfn.NORM.INV(RAND(),(Simulate!$D$38+(4*Simulate!$E$38)+Simulate!$F$38)/6,(LN(Simulate!$F$38)-LN(Simulate!$D$38))/3.29))),0),2)</f>
        <v>0</v>
      </c>
      <c r="AQ5">
        <f ca="1">ROUND(IFERROR(IF(Simulate!$G$38=1,1,(IF(Simulate!$E$38="",_xlfn.LOGNORM.INV(RAND(),(LN(Simulate!$F$38)+LN(Simulate!$D$38))/2,(LN(Simulate!$F$38)-LN(Simulate!$D$38))/3.29),_xlfn.LOGNORM.INV(RAND(),((LN(Simulate!$D$38)+(4*LN(Simulate!$E$38))+LN(Simulate!$F$38))/6),(LN(Simulate!$F$38)-LN(Simulate!$D$38))/3.29)))),0),2)</f>
        <v>0</v>
      </c>
      <c r="AR5">
        <f ca="1">ROUND(IFERROR(IF(Simulate!$G$38=1,1,(IF(Simulate!$E$38="",RAND()*(Simulate!$F$38-Simulate!$D$38)+Simulate!$D$38,(Simulate!$E$38+IF(RAND()&gt;0.5,RAND()*(Simulate!$F$38-Simulate!$E$38),RAND()*(Simulate!$D$38-Simulate!$E$38)))))),0),2)</f>
        <v>0</v>
      </c>
      <c r="AS5">
        <f ca="1">ROUND(IFERROR(IF(Simulate!$E$39="",_xlfn.NORM.INV(RAND(),(Simulate!$F$39-Simulate!$D$39)/2,LN(STDEV(Simulate!$F$39,Simulate!$D$39))),_xlfn.NORM.INV(RAND(),(Simulate!$D$39+(4*Simulate!$E$39)+Simulate!$F$39)/6,LN(STDEV(Simulate!$F$39,Simulate!$D$39)))),0),2)</f>
        <v>0</v>
      </c>
      <c r="AT5">
        <f ca="1">ROUND(IFERROR(IF(Simulate!$G$39=1,1,IF(Simulate!$E$39="",_xlfn.NORM.INV(RAND(),(Simulate!$F$39-Simulate!$D$39)/2,(LN(Simulate!$F$39)-LN(Simulate!$D$39))/3.29),_xlfn.NORM.INV(RAND(),(Simulate!$D$39+(4*Simulate!$E$39)+Simulate!$F$39)/6,(LN(Simulate!$F$39)-LN(Simulate!$D$39))/3.29))),0),2)</f>
        <v>0</v>
      </c>
      <c r="AU5">
        <f ca="1">ROUND(IFERROR(IF(Simulate!$G$39=1,1,(IF(Simulate!$E$39="",_xlfn.LOGNORM.INV(RAND(),(LN(Simulate!$F$39)+LN(Simulate!$D$39))/2,(LN(Simulate!$F$39)-LN(Simulate!$D$39))/3.29),_xlfn.LOGNORM.INV(RAND(),((LN(Simulate!$D$39)+(4*LN(Simulate!$E$39))+LN(Simulate!$F$39))/6),(LN(Simulate!$F$39)-LN(Simulate!$D$39))/3.29)))),0),2)</f>
        <v>0</v>
      </c>
      <c r="AV5">
        <f ca="1">ROUND(IFERROR(IF(Simulate!$G$39=1,1,(IF(Simulate!$E$39="",RAND()*(Simulate!$F$39-Simulate!$D$39)+Simulate!$D$39,(Simulate!$E$39+IF(RAND()&gt;0.5,RAND()*(Simulate!$F$39-Simulate!$E$39),RAND()*(Simulate!$D$39-Simulate!$E$39)))))),0),2)</f>
        <v>0</v>
      </c>
      <c r="AW5">
        <f ca="1">ROUND(IFERROR(IF(Simulate!$E$40="",_xlfn.NORM.INV(RAND(),(Simulate!$F$40-Simulate!$D$40)/2,LN(STDEV(Simulate!$F$40,Simulate!$D$40))),_xlfn.NORM.INV(RAND(),(Simulate!$D$40+(4*Simulate!$E$40)+Simulate!$F$40)/6,LN(STDEV(Simulate!$F$40,Simulate!$D$40)))),0),2)</f>
        <v>0</v>
      </c>
      <c r="AX5">
        <f ca="1">ROUND(IFERROR(IF(Simulate!$G$40=1,1,IF(Simulate!$E$40="",_xlfn.NORM.INV(RAND(),(Simulate!$F$40-Simulate!$D$40)/2,(LN(Simulate!$F$40)-LN(Simulate!$D$40))/3.29),_xlfn.NORM.INV(RAND(),(Simulate!$D$40+(4*Simulate!$E$40)+Simulate!$F$40)/6,(LN(Simulate!$F$40)-LN(Simulate!$D$40))/3.29))),0),2)</f>
        <v>0</v>
      </c>
      <c r="AY5">
        <f ca="1">ROUND(IFERROR(IF(Simulate!$G$40=1,1,(IF(Simulate!$E$40="",_xlfn.LOGNORM.INV(RAND(),(LN(Simulate!$F$40)+LN(Simulate!$D$40))/2,(LN(Simulate!$F$40)-LN(Simulate!$D$40))/3.29),_xlfn.LOGNORM.INV(RAND(),((LN(Simulate!$D$40)+(4*LN(Simulate!$E$40))+LN(Simulate!$F$40))/6),(LN(Simulate!$F$40)-LN(Simulate!$D$40))/3.29)))),0),2)</f>
        <v>0</v>
      </c>
      <c r="AZ5">
        <f ca="1">ROUND(IFERROR(IF(Simulate!$G$40=1,1,(IF(Simulate!$E$40="",RAND()*(Simulate!$F$40-Simulate!$D$40)+Simulate!$D$40,(Simulate!$E$40+IF(RAND()&gt;0.5,RAND()*(Simulate!$F$40-Simulate!$E$40),RAND()*(Simulate!$D$40-Simulate!$E$40)))))),0),2)</f>
        <v>0</v>
      </c>
      <c r="BA5">
        <f ca="1">ROUND(IFERROR(IF(Simulate!$E$41="",_xlfn.NORM.INV(RAND(),(Simulate!$F$41-Simulate!$D$41)/2,LN(STDEV(Simulate!$F$41,Simulate!$D$41))),_xlfn.NORM.INV(RAND(),(Simulate!$D$41+(4*Simulate!$E$41)+Simulate!$F$41)/6,LN(STDEV(Simulate!$F$41,Simulate!$D$41)))),0),2)</f>
        <v>0</v>
      </c>
      <c r="BB5">
        <f ca="1">ROUND(IFERROR(IF(Simulate!$G$41=1,1,IF(Simulate!$E$41="",_xlfn.NORM.INV(RAND(),(Simulate!$F$41-Simulate!$D$41)/2,(LN(Simulate!$F$41)-LN(Simulate!$D$41))/3.29),_xlfn.NORM.INV(RAND(),(Simulate!$D$41+(4*Simulate!$E$41)+Simulate!$F$41)/6,(LN(Simulate!$F$41)-LN(Simulate!$D$41))/3.29))),0),2)</f>
        <v>0</v>
      </c>
      <c r="BC5">
        <f ca="1">ROUND(IFERROR(IF(Simulate!$G$41=1,1,(IF(Simulate!$E$41="",_xlfn.LOGNORM.INV(RAND(),(LN(Simulate!$F$41)+LN(Simulate!$D$41))/2,(LN(Simulate!$F$41)-LN(Simulate!$D$41))/3.29),_xlfn.LOGNORM.INV(RAND(),((LN(Simulate!$D$41)+(4*LN(Simulate!$E$41))+LN(Simulate!$F$41))/6),(LN(Simulate!$F$41)-LN(Simulate!$D$41))/3.29)))),0),2)</f>
        <v>0</v>
      </c>
      <c r="BD5">
        <f ca="1">ROUND(IFERROR(IF(Simulate!$G$41=1,1,(IF(Simulate!$E$41="",RAND()*(Simulate!$F$41-Simulate!$D$41)+Simulate!$D$41,(Simulate!$E$41+IF(RAND()&gt;0.5,RAND()*(Simulate!$F$41-Simulate!$E$41),RAND()*(Simulate!$D$41-Simulate!$E$41)))))),0),2)</f>
        <v>0</v>
      </c>
      <c r="BE5" s="15">
        <f ca="1">ROUND(IFERROR(IF(Simulate!$F$47=1,1,IF(Simulate!$D$47="",_xlfn.NORM.INV(RAND(),(Simulate!$E$47-Simulate!$C$47)/2,STDEV(Simulate!$E$47,Simulate!$C$47)),_xlfn.NORM.INV(RAND(),(Simulate!$C$47+(4*Simulate!$D$47)+Simulate!$E$47)/6,STDEV(Simulate!$E$47,Simulate!$C$47)))),0),2)</f>
        <v>0</v>
      </c>
      <c r="BF5" s="15">
        <f ca="1">ROUND(IFERROR(IF(Simulate!$F$47=1,1,IF(Simulate!$D$47="",_xlfn.NORM.INV(RAND(),(Simulate!$E$47-Simulate!$C$47)/2,(Simulate!$E$47-Simulate!$C$47)/3.29),_xlfn.NORM.INV(RAND(),(Simulate!$C$47+(4*Simulate!$D$47)+Simulate!$E$47)/6,(Simulate!$E$47-Simulate!$C$47)/3.29))),0),2)</f>
        <v>0</v>
      </c>
      <c r="BG5" s="22">
        <f ca="1">ROUND(IFERROR(IF(OR(Simulate!$C$47=0,Simulate!$E$47=0),ROUND(IFERROR(IF(Simulate!$D$47="",(Simulate!$C$47+4*(AVERAGE(Simulate!$C$47,Simulate!$E$47))+Simulate!$E$47)/6,((Simulate!$C$47+(4*Simulate!$D$47)+Simulate!$E$47)/6)),0),2),(IF(Simulate!$F$47=1,1,(IF(Simulate!$D$47="",_xlfn.LOGNORM.INV(RAND(),(LN(Simulate!$E$47)+LN(Simulate!$C$47))/2,(LN(Simulate!$E$47)-LN(Simulate!$C$47))/3.29),_xlfn.LOGNORM.INV(RAND(),((LN(Simulate!$C$47)+(4*LN(Simulate!$D$47))+LN(Simulate!$E$47))/6),(LN(Simulate!$E$47)-LN(Simulate!$C$47))/3.29)))))),0),2)</f>
        <v>0</v>
      </c>
      <c r="BH5" s="15">
        <f ca="1">ROUND(IFERROR(IF(Simulate!$F$47=1,1,(IF(Simulate!$D$47="",RAND()*(Simulate!$E$47-Simulate!$C$47)+Simulate!$C$47,(Simulate!$D$47+IF(RAND()&gt;0.5,RAND()*(Simulate!$E$47-Simulate!$D$47),RAND()*(Simulate!$C$47-Simulate!$D$47)))))),0),2)</f>
        <v>0</v>
      </c>
      <c r="BI5" s="15">
        <f ca="1">ROUND(IFERROR(IF(Simulate!$F$48=1,1,IF(Simulate!$D$48="",_xlfn.NORM.INV(RAND(),(Simulate!$E$48-Simulate!$C$48)/2,STDEV(Simulate!$E$48,Simulate!$C$48)),_xlfn.NORM.INV(RAND(),(Simulate!$C$48+(4*Simulate!$D$48)+Simulate!$E$48)/6,STDEV(Simulate!$E$48,Simulate!$C$48)))),0),2)</f>
        <v>0</v>
      </c>
      <c r="BJ5" s="15">
        <f ca="1">ROUND(IFERROR(IF(Simulate!$F$48=1,1,IF(Simulate!$D$48="",_xlfn.NORM.INV(RAND(),(Simulate!$E$48-Simulate!$C$48)/2,(Simulate!$E$48-Simulate!$C$48)/3.29),_xlfn.NORM.INV(RAND(),(Simulate!$C$48+(4*Simulate!$D$48)+Simulate!$E$48)/6,(Simulate!$E$48-Simulate!$C$48)/3.29))),0),2)</f>
        <v>0</v>
      </c>
      <c r="BK5" s="22">
        <f ca="1">ROUND(IFERROR(IF(OR(Simulate!$C$48=0,Simulate!$E$48=0),ROUND(IFERROR(IF(Simulate!$D$48="",(Simulate!$C$48+4*(AVERAGE(Simulate!$C$48,Simulate!$E$48))+Simulate!$E$48)/6,((Simulate!$C$48+(4*Simulate!$D$48)+Simulate!$E$48)/6)),0),2),(IF(Simulate!$F$48=1,1,(IF(Simulate!$D$48="",_xlfn.LOGNORM.INV(RAND(),(LN(Simulate!$E$48)+LN(Simulate!$C$48))/2,(LN(Simulate!$E$48)-LN(Simulate!$C$48))/3.29),_xlfn.LOGNORM.INV(RAND(),((LN(Simulate!$C$48)+(4*LN(Simulate!$D$48))+LN(Simulate!$E$48))/6),(LN(Simulate!$E$48)-LN(Simulate!$C$48))/3.29)))))),0),2)</f>
        <v>0</v>
      </c>
      <c r="BL5" s="15">
        <f ca="1">ROUND(IFERROR(IF(Simulate!$F$48=1,1,(IF(Simulate!$D$48="",RAND()*(Simulate!$E$48-Simulate!$C$48)+Simulate!$C$48,(Simulate!$D$48+IF(RAND()&gt;0.5,RAND()*(Simulate!$E$48-Simulate!$D$48),RAND()*(Simulate!$C$48-Simulate!$D$48)))))),0),2)</f>
        <v>0</v>
      </c>
      <c r="BM5" s="15">
        <f ca="1">ROUND(IFERROR(IF(Simulate!$F$49=1,1,IF(Simulate!$D$49="",_xlfn.NORM.INV(RAND(),(Simulate!$E$49-Simulate!$C$49)/2,STDEV(Simulate!$E$49,Simulate!$C$49)),_xlfn.NORM.INV(RAND(),(Simulate!$C$49+(4*Simulate!$D$49)+Simulate!$E$49)/6,STDEV(Simulate!$E$49,Simulate!$C$49)))),0),2)</f>
        <v>0</v>
      </c>
      <c r="BN5" s="15">
        <f ca="1">ROUND(IFERROR(IF(Simulate!$F$49=1,1,IF(Simulate!$D$49="",_xlfn.NORM.INV(RAND(),(Simulate!$E$49-Simulate!$C$49)/2,(Simulate!$E$49-Simulate!$C$49)/3.29),_xlfn.NORM.INV(RAND(),(Simulate!$C$49+(4*Simulate!$D$49)+Simulate!$E$49)/6,(Simulate!$E$49-Simulate!$C$49)/3.29))),0),2)</f>
        <v>0</v>
      </c>
      <c r="BO5" s="22">
        <f ca="1">ROUND(IFERROR(IF(OR(Simulate!$C$49=0,Simulate!$E$49=0),ROUND(IFERROR(IF(Simulate!$D$49="",(Simulate!$C$49+4*(AVERAGE(Simulate!$C$49,Simulate!$E$49))+Simulate!$E$49)/6,((Simulate!$C$49+(4*Simulate!$D$49)+Simulate!$E$49)/6)),0),2),(IF(Simulate!$F$49=1,1,(IF(Simulate!$D$49="",_xlfn.LOGNORM.INV(RAND(),(LN(Simulate!$E$49)+LN(Simulate!$C$49))/2,(LN(Simulate!$E$49)-LN(Simulate!$C$49))/3.29),_xlfn.LOGNORM.INV(RAND(),((LN(Simulate!$C$49)+(4*LN(Simulate!$D$49))+LN(Simulate!$E$49))/6),(LN(Simulate!$E$49)-LN(Simulate!$C$49))/3.29)))))),0),2)</f>
        <v>0</v>
      </c>
      <c r="BP5" s="15">
        <f ca="1">ROUND(IFERROR(IF(Simulate!$F$49=1,1,(IF(Simulate!$D$49="",RAND()*(Simulate!$E$49-Simulate!$C$49)+Simulate!$C$49,(Simulate!$D$49+IF(RAND()&gt;0.5,RAND()*(Simulate!$E$49-Simulate!$D$49),RAND()*(Simulate!$C$49-Simulate!$D$49)))))),0),2)</f>
        <v>0</v>
      </c>
      <c r="BQ5" s="15">
        <f ca="1">ROUND(IFERROR(IF(Simulate!$F$50=1,1,IF(Simulate!$D$50="",_xlfn.NORM.INV(RAND(),(Simulate!$E$50-Simulate!$C$50)/2,STDEV(Simulate!$E$50,Simulate!$C$50)),_xlfn.NORM.INV(RAND(),(Simulate!$C$50+(4*Simulate!$D$50)+Simulate!$E$50)/6,STDEV(Simulate!$E$50,Simulate!$C$50)))),0),2)</f>
        <v>0</v>
      </c>
      <c r="BR5" s="15">
        <f ca="1">ROUND(IFERROR(IF(Simulate!$F$50=1,1,IF(Simulate!$D$50="",_xlfn.NORM.INV(RAND(),(Simulate!$E$50-Simulate!$C$50)/2,(Simulate!$E$50-Simulate!$C$50)/3.29),_xlfn.NORM.INV(RAND(),(Simulate!$C$50+(4*Simulate!$D$50)+Simulate!$E$50)/6,(Simulate!$E$50-Simulate!$C$50)/3.29))),0),2)</f>
        <v>0</v>
      </c>
      <c r="BS5" s="22">
        <f ca="1">ROUND(IFERROR(IF(OR(Simulate!$C$50=0,Simulate!$E$50=0),ROUND(IFERROR(IF(Simulate!$D$50="",(Simulate!$C$50+4*(AVERAGE(Simulate!$C$50,Simulate!$E$50))+Simulate!$E$50)/6,((Simulate!$C$50+(4*Simulate!$D$50)+Simulate!$E$50)/6)),0),2),(IF(Simulate!$F$50=1,1,(IF(Simulate!$D$50="",_xlfn.LOGNORM.INV(RAND(),(LN(Simulate!$E$50)+LN(Simulate!$C$50))/2,(LN(Simulate!$E$50)-LN(Simulate!$C$50))/3.29),_xlfn.LOGNORM.INV(RAND(),((LN(Simulate!$C$50)+(4*LN(Simulate!$D$50))+LN(Simulate!$E$50))/6),(LN(Simulate!$E$50)-LN(Simulate!$C$50))/3.29)))))),0),2)</f>
        <v>0</v>
      </c>
      <c r="BT5" s="15">
        <f ca="1">ROUND(IFERROR(IF(Simulate!$F$50=1,1,(IF(Simulate!$D$50="",RAND()*(Simulate!$E$50-Simulate!$C$50)+Simulate!$C$50,(Simulate!$D$50+IF(RAND()&gt;0.5,RAND()*(Simulate!$E$50-Simulate!$D$50),RAND()*(Simulate!$C$50-Simulate!$D$50)))))),0),2)</f>
        <v>0</v>
      </c>
      <c r="BU5" s="15">
        <f ca="1">ROUND(IFERROR(IF(Simulate!$F$51=1,1,IF(Simulate!$D$51="",_xlfn.NORM.INV(RAND(),(Simulate!$E$51-Simulate!$C$51)/2,STDEV(Simulate!$E$51,Simulate!$C$51)),_xlfn.NORM.INV(RAND(),(Simulate!$C$51+(4*Simulate!$D$51)+Simulate!$E$51)/6,STDEV(Simulate!$E$51,Simulate!$C$51)))),0),2)</f>
        <v>0</v>
      </c>
      <c r="BV5" s="15">
        <f ca="1">ROUND(IFERROR(IF(Simulate!$F$51=1,1,IF(Simulate!$D$51="",_xlfn.NORM.INV(RAND(),(Simulate!$E$51-Simulate!$C$51)/2,(Simulate!$E$51-Simulate!$C$51)/3.29),_xlfn.NORM.INV(RAND(),(Simulate!$C$51+(4*Simulate!$D$51)+Simulate!$E$51)/6,(Simulate!$E$51-Simulate!$C$51)/3.29))),0),2)</f>
        <v>0</v>
      </c>
      <c r="BW5" s="22">
        <f ca="1">ROUND(IFERROR(IF(OR(Simulate!$C$51=0,Simulate!$E$51=0),ROUND(IFERROR(IF(Simulate!$D$51="",(Simulate!$C$51+4*(AVERAGE(Simulate!$C$51,Simulate!$E$51))+Simulate!$E$51)/6,((Simulate!$C$51+(4*Simulate!$D$51)+Simulate!$E$51)/6)),0),2),(IF(Simulate!$F$51=1,1,(IF(Simulate!$D$51="",_xlfn.LOGNORM.INV(RAND(),(LN(Simulate!$E$51)+LN(Simulate!$C$51))/2,(LN(Simulate!$E$51)-LN(Simulate!$C$51))/3.29),_xlfn.LOGNORM.INV(RAND(),((LN(Simulate!$C$51)+(4*LN(Simulate!$D$51))+LN(Simulate!$E$51))/6),(LN(Simulate!$E$51)-LN(Simulate!$C$51))/3.29)))))),0),2)</f>
        <v>0</v>
      </c>
      <c r="BX5" s="15">
        <f ca="1">ROUND(IFERROR(IF(Simulate!$F$51=1,1,(IF(Simulate!$D$51="",RAND()*(Simulate!$E$51-Simulate!$C$51)+Simulate!$C$51,(Simulate!$D$51+IF(RAND()&gt;0.5,RAND()*(Simulate!$E$51-Simulate!$D$51),RAND()*(Simulate!$C$51-Simulate!$D$51)))))),0),2)</f>
        <v>0</v>
      </c>
      <c r="BY5" s="15">
        <f ca="1">ROUND(IFERROR(IF(Simulate!$F$52=1,1,IF(Simulate!$D$52="",_xlfn.NORM.INV(RAND(),(Simulate!$E$52-Simulate!$C$52)/2,STDEV(Simulate!$E$52,Simulate!$C$52)),_xlfn.NORM.INV(RAND(),(Simulate!$C$52+(4*Simulate!$D$52)+Simulate!$E$52)/6,STDEV(Simulate!$E$52,Simulate!$C$52)))),0),2)</f>
        <v>0</v>
      </c>
      <c r="BZ5" s="15">
        <f ca="1">ROUND(IFERROR(IF(Simulate!$F$52=1,1,IF(Simulate!$D$52="",_xlfn.NORM.INV(RAND(),(Simulate!$E$52-Simulate!$C$52)/2,(Simulate!$E$52-Simulate!$C$52)/3.29),_xlfn.NORM.INV(RAND(),(Simulate!$C$52+(4*Simulate!$D$52)+Simulate!$E$52)/6,(Simulate!$E$52-Simulate!$C$52)/3.29))),0),2)</f>
        <v>0</v>
      </c>
      <c r="CA5" s="22">
        <f ca="1">ROUND(IFERROR(IF(OR(Simulate!$C$52=0,Simulate!$E$52=0),ROUND(IFERROR(IF(Simulate!$D$52="",(Simulate!$C$52+4*(AVERAGE(Simulate!$C$52,Simulate!$E$52))+Simulate!$E$52)/6,((Simulate!$C$52+(4*Simulate!$D$52)+Simulate!$E$52)/6)),0),2),(IF(Simulate!$F$52=1,1,(IF(Simulate!$D$52="",_xlfn.LOGNORM.INV(RAND(),(LN(Simulate!$E$52)+LN(Simulate!$C$52))/2,(LN(Simulate!$E$52)-LN(Simulate!$C$52))/3.29),_xlfn.LOGNORM.INV(RAND(),((LN(Simulate!$C$52)+(4*LN(Simulate!$D$52))+LN(Simulate!$E$52))/6),(LN(Simulate!$E$52)-LN(Simulate!$C$52))/3.29)))))),0),2)</f>
        <v>0</v>
      </c>
      <c r="CB5" s="15">
        <f ca="1">ROUND(IFERROR(IF(Simulate!$F$52=1,1,(IF(Simulate!$D$52="",RAND()*(Simulate!$E$52-Simulate!$C$52)+Simulate!$C$52,(Simulate!$D$52+IF(RAND()&gt;0.5,RAND()*(Simulate!$E$52-Simulate!$D$52),RAND()*(Simulate!$C$52-Simulate!$D$52)))))),0),2)</f>
        <v>0</v>
      </c>
      <c r="CC5" s="15">
        <f ca="1">ROUND(IFERROR(IF(Simulate!$F$53=1,1,IF(Simulate!$D$53="",_xlfn.NORM.INV(RAND(),(Simulate!$E$53-Simulate!$C$53)/2,STDEV(Simulate!$E$53,Simulate!$C$53)),_xlfn.NORM.INV(RAND(),(Simulate!$C$53+(4*Simulate!$D$53)+Simulate!$E$53)/6,STDEV(Simulate!$E$53,Simulate!$C$53)))),0),2)</f>
        <v>0</v>
      </c>
      <c r="CD5" s="15">
        <f ca="1">ROUND(IFERROR(IF(Simulate!$F$53=1,1,IF(Simulate!$D$53="",_xlfn.NORM.INV(RAND(),(Simulate!$E$53-Simulate!$C$53)/2,(Simulate!$E$53-Simulate!$C$53)/3.29),_xlfn.NORM.INV(RAND(),(Simulate!$C$53+(4*Simulate!$D$53)+Simulate!$E$53)/6,(Simulate!$E$53-Simulate!$C$53)/3.29))),0),2)</f>
        <v>0</v>
      </c>
      <c r="CE5" s="22">
        <f ca="1">ROUND(IFERROR(IF(OR(Simulate!$C$53=0,Simulate!$E$53=0),ROUND(IFERROR(IF(Simulate!$D$53="",(Simulate!$C$53+4*(AVERAGE(Simulate!$C$53,Simulate!$E$53))+Simulate!$E$53)/6,((Simulate!$C$53+(4*Simulate!$D$53)+Simulate!$E$53)/6)),0),2),(IF(Simulate!$F$53=1,1,(IF(Simulate!$D$53="",_xlfn.LOGNORM.INV(RAND(),(LN(Simulate!$E$53)+LN(Simulate!$C$53))/2,(LN(Simulate!$E$53)-LN(Simulate!$C$53))/3.29),_xlfn.LOGNORM.INV(RAND(),((LN(Simulate!$C$53)+(4*LN(Simulate!$D$53))+LN(Simulate!$E$53))/6),(LN(Simulate!$E$53)-LN(Simulate!$C$53))/3.29)))))),0),2)</f>
        <v>0</v>
      </c>
      <c r="CF5" s="15">
        <f ca="1">ROUND(IFERROR(IF(Simulate!$F$53=1,1,(IF(Simulate!$D$53="",RAND()*(Simulate!$E$53-Simulate!$C$53)+Simulate!$C$53,(Simulate!$D$53+IF(RAND()&gt;0.5,RAND()*(Simulate!$E$53-Simulate!$D$53),RAND()*(Simulate!$C$53-Simulate!$D$53)))))),0),2)</f>
        <v>0</v>
      </c>
      <c r="CG5" s="15">
        <f ca="1">ROUND(IFERROR(IF(Simulate!$F$54=1,1,IF(Simulate!$D$54="",_xlfn.NORM.INV(RAND(),(Simulate!$E$54-Simulate!$C$54)/2,STDEV(Simulate!$E$54,Simulate!$C$54)),_xlfn.NORM.INV(RAND(),(Simulate!$C$54+(4*Simulate!$D$54)+Simulate!$E$54)/6,STDEV(Simulate!$E$54,Simulate!$C$54)))),0),2)</f>
        <v>0</v>
      </c>
      <c r="CH5" s="15">
        <f ca="1">ROUND(IFERROR(IF(Simulate!$F$54=1,1,IF(Simulate!$D$54="",_xlfn.NORM.INV(RAND(),(Simulate!$E$54-Simulate!$C$54)/2,(Simulate!$E$54-Simulate!$C$54)/3.29),_xlfn.NORM.INV(RAND(),(Simulate!$C$54+(4*Simulate!$D$54)+Simulate!$E$54)/6,(Simulate!$E$54-Simulate!$C$54)/3.29))),0),2)</f>
        <v>0</v>
      </c>
      <c r="CI5" s="22">
        <f ca="1">ROUND(IFERROR(IF(OR(Simulate!$C$54=0,Simulate!$E$54=0),ROUND(IFERROR(IF(Simulate!$D$54="",(Simulate!$C$54+4*(AVERAGE(Simulate!$C$54,Simulate!$E$54))+Simulate!$E$54)/6,((Simulate!$C$54+(4*Simulate!$D$54)+Simulate!$E$54)/6)),0),2),(IF(Simulate!$F$54=1,1,(IF(Simulate!$D$54="",_xlfn.LOGNORM.INV(RAND(),(LN(Simulate!$E$54)+LN(Simulate!$C$54))/2,(LN(Simulate!$E$54)-LN(Simulate!$C$54))/3.29),_xlfn.LOGNORM.INV(RAND(),((LN(Simulate!$C$54)+(4*LN(Simulate!$D$54))+LN(Simulate!$E$54))/6),(LN(Simulate!$E$54)-LN(Simulate!$C$54))/3.29)))))),0),2)</f>
        <v>0</v>
      </c>
      <c r="CJ5" s="15">
        <f ca="1">ROUND(IFERROR(IF(Simulate!$F$54=1,1,(IF(Simulate!$D$54="",RAND()*(Simulate!$E$54-Simulate!$C$54)+Simulate!$C$54,(Simulate!$D$54+IF(RAND()&gt;0.5,RAND()*(Simulate!$E$54-Simulate!$D$54),RAND()*(Simulate!$C$54-Simulate!$D$54)))))),0),2)</f>
        <v>0</v>
      </c>
      <c r="CK5" s="15">
        <f ca="1">ROUND(IFERROR(IF(Simulate!$F$55=1,1,IF(Simulate!$D$55="",_xlfn.NORM.INV(RAND(),(Simulate!$E$55-Simulate!$C$55)/2,STDEV(Simulate!$E$55,Simulate!$C$55)),_xlfn.NORM.INV(RAND(),(Simulate!$C$55+(4*Simulate!$D$55)+Simulate!$E$55)/6,STDEV(Simulate!$E$55,Simulate!$C$55)))),0),2)</f>
        <v>0</v>
      </c>
      <c r="CL5" s="15">
        <f ca="1">ROUND(IFERROR(IF(Simulate!$F$55=1,1,IF(Simulate!$D$55="",_xlfn.NORM.INV(RAND(),(Simulate!$E$55-Simulate!$C$55)/2,(Simulate!$E$55-Simulate!$C$55)/3.29),_xlfn.NORM.INV(RAND(),(Simulate!$C$55+(4*Simulate!$D$55)+Simulate!$E$55)/6,(Simulate!$E$55-Simulate!$C$55)/3.29))),0),2)</f>
        <v>0</v>
      </c>
      <c r="CM5" s="22">
        <f ca="1">ROUND(IFERROR(IF(OR(Simulate!$C$55=0,Simulate!$E$55=0),ROUND(IFERROR(IF(Simulate!$D$55="",(Simulate!$C$55+4*(AVERAGE(Simulate!$C$55,Simulate!$E$55))+Simulate!$E$55)/6,((Simulate!$C$55+(4*Simulate!$D$55)+Simulate!$E$55)/6)),0),2),(IF(Simulate!$F$55=1,1,(IF(Simulate!$D$55="",_xlfn.LOGNORM.INV(RAND(),(LN(Simulate!$E$55)+LN(Simulate!$C$55))/2,(LN(Simulate!$E$55)-LN(Simulate!$C$55))/3.29),_xlfn.LOGNORM.INV(RAND(),((LN(Simulate!$C$55)+(4*LN(Simulate!$D$55))+LN(Simulate!$E$55))/6),(LN(Simulate!$E$55)-LN(Simulate!$C$55))/3.29)))))),0),2)</f>
        <v>0</v>
      </c>
      <c r="CN5" s="15">
        <f ca="1">ROUND(IFERROR(IF(Simulate!$F$55=1,1,(IF(Simulate!$D$55="",RAND()*(Simulate!$E$55-Simulate!$C$55)+Simulate!$C$55,(Simulate!$D$55+IF(RAND()&gt;0.5,RAND()*(Simulate!$E$55-Simulate!$D$55),RAND()*(Simulate!$C$55-Simulate!$D$55)))))),0),2)</f>
        <v>0</v>
      </c>
      <c r="CO5" s="15">
        <f ca="1">ROUND(IFERROR(IF(Simulate!$F$56=1,1,IF(Simulate!$D$56="",_xlfn.NORM.INV(RAND(),(Simulate!$E$56-Simulate!$C$56)/2,STDEV(Simulate!$E$56,Simulate!$C$56)),_xlfn.NORM.INV(RAND(),(Simulate!$C$56+(4*Simulate!$D$56)+Simulate!$E$56)/6,STDEV(Simulate!$E$56,Simulate!$C$56)))),0),2)</f>
        <v>0</v>
      </c>
      <c r="CP5" s="15">
        <f ca="1">ROUND(IFERROR(IF(Simulate!$F$56=1,1,IF(Simulate!$D$56="",_xlfn.NORM.INV(RAND(),(Simulate!$E$56-Simulate!$C$56)/2,(Simulate!$E$56-Simulate!$C$56)/3.29),_xlfn.NORM.INV(RAND(),(Simulate!$C$56+(4*Simulate!$D$56)+Simulate!$E$56)/6,(Simulate!$E$56-Simulate!$C$56)/3.29))),0),2)</f>
        <v>0</v>
      </c>
      <c r="CQ5" s="22">
        <f ca="1">ROUND(IFERROR(IF(OR(Simulate!$C$56=0,Simulate!$E$56=0),ROUND(IFERROR(IF(Simulate!$D$56="",(Simulate!$C$56+4*(AVERAGE(Simulate!$C$56,Simulate!$E$56))+Simulate!$E$56)/6,((Simulate!$C$56+(4*Simulate!$D$56)+Simulate!$E$56)/6)),0),2),(IF(Simulate!$F$56=1,1,(IF(Simulate!$D$56="",_xlfn.LOGNORM.INV(RAND(),(LN(Simulate!$E$56)+LN(Simulate!$C$56))/2,(LN(Simulate!$E$56)-LN(Simulate!$C$56))/3.29),_xlfn.LOGNORM.INV(RAND(),((LN(Simulate!$C$56)+(4*LN(Simulate!$D$56))+LN(Simulate!$E$56))/6),(LN(Simulate!$E$56)-LN(Simulate!$C$56))/3.29)))))),0),2)</f>
        <v>0</v>
      </c>
      <c r="CR5" s="15">
        <f ca="1">ROUND(IFERROR(IF(Simulate!$F$56=1,1,(IF(Simulate!$D$56="",RAND()*(Simulate!$E$56-Simulate!$C$56)+Simulate!$C$56,(Simulate!$D$56+IF(RAND()&gt;0.5,RAND()*(Simulate!$E$56-Simulate!$D$56),RAND()*(Simulate!$C$56-Simulate!$D$56)))))),0),2)</f>
        <v>0</v>
      </c>
      <c r="CS5" s="23">
        <f ca="1">ROUND(IFERROR(IF(Simulate!$F$61=1,1,IF(Simulate!$D$61="",_xlfn.NORM.INV(RAND(),(Simulate!$E$61-Simulate!$C$61)/2,STDEV(Simulate!$E$61,Simulate!$C$61)),_xlfn.NORM.INV(RAND(),(Simulate!$C$61+(4*Simulate!$D$61)+Simulate!$E$61)/6,STDEV(Simulate!$E$61,Simulate!$C$61)))),0),2)</f>
        <v>0</v>
      </c>
      <c r="CT5">
        <f ca="1">ROUND(IFERROR(IF(Simulate!$F$61=1,1,IF(Simulate!$D$61="",_xlfn.NORM.INV(RAND(),(Simulate!$E$61-Simulate!$C$61)/2,(LN(Simulate!$E$61)-LN(Simulate!$C$61))/3.29),_xlfn.NORM.INV(RAND(),(Simulate!$C$61+(4*Simulate!$D$61)+Simulate!$E$61)/6,(LN(Simulate!$E$61)-LN(Simulate!$C$61))/3.29))),0),2)</f>
        <v>0</v>
      </c>
      <c r="CU5" s="22">
        <f ca="1">ROUND(IFERROR(IF(Simulate!$F$61=1,1,(IF(Simulate!$D$61="",_xlfn.LOGNORM.INV(RAND(),(LN(Simulate!$E$61)+LN(Simulate!$C$61))/2,(LN(Simulate!$E$61)-LN(Simulate!$C$61))/3.29),_xlfn.LOGNORM.INV(RAND(),((LN(Simulate!$C$61)+(4*LN(Simulate!$D$61))+LN(Simulate!$E$61))/6),(LN(Simulate!$E$61)-LN(Simulate!$C$61))/3.29)))),0),2)</f>
        <v>0</v>
      </c>
      <c r="CV5">
        <f ca="1">ROUND(IFERROR(IF(Simulate!$F$61=1,1,(IF(Simulate!$D$61="",RAND()*(Simulate!$E$61-Simulate!$C$61)+Simulate!$C$61,(Simulate!$D$61+IF(RAND()&gt;0.5,RAND()*(Simulate!$E$61-Simulate!$D$61),RAND()*(Simulate!$C$61-Simulate!$D$61)))))),0),2)</f>
        <v>0</v>
      </c>
      <c r="CW5" s="23">
        <f ca="1">ROUND(IFERROR(IF(Simulate!$F$62=1,1,IF(Simulate!$D$62="",_xlfn.NORM.INV(RAND(),(Simulate!$E$62-Simulate!$C$62)/2,STDEV(Simulate!$E$62,Simulate!$C$62)),_xlfn.NORM.INV(RAND(),(Simulate!$C$62+(4*Simulate!$D$62)+Simulate!$E$62)/6,STDEV(Simulate!$E$62,Simulate!$C$62)))),0),2)</f>
        <v>0</v>
      </c>
      <c r="CX5">
        <f ca="1">ROUND(IFERROR(IF(Simulate!$F$62=1,1,IF(Simulate!$D$62="",_xlfn.NORM.INV(RAND(),(Simulate!$E$62-Simulate!$C$62)/2,(LN(Simulate!$E$62)-LN(Simulate!$C$62))/3.29),_xlfn.NORM.INV(RAND(),(Simulate!$C$62+(4*Simulate!$D$62)+Simulate!$E$62)/6,(LN(Simulate!$E$62)-LN(Simulate!$C$62))/3.29))),0),2)</f>
        <v>0</v>
      </c>
      <c r="CY5" s="22">
        <f ca="1">ROUND(IFERROR(IF(Simulate!$F$62=1,1,(IF(Simulate!$D$62="",_xlfn.LOGNORM.INV(RAND(),(LN(Simulate!$E$62)+LN(Simulate!$C$62))/2,(LN(Simulate!$E$62)-LN(Simulate!$C$62))/3.29),_xlfn.LOGNORM.INV(RAND(),((LN(Simulate!$C$62)+(4*LN(Simulate!$D$62))+LN(Simulate!$E$62))/6),(LN(Simulate!$E$62)-LN(Simulate!$C$62))/3.29)))),0),2)</f>
        <v>0</v>
      </c>
      <c r="CZ5">
        <f ca="1">ROUND(IFERROR(IF(Simulate!$F$62=1,1,(IF(Simulate!$D$62="",RAND()*(Simulate!$E$62-Simulate!$C$62)+Simulate!$C$62,(Simulate!$D$62+IF(RAND()&gt;0.5,RAND()*(Simulate!$E$62-Simulate!$D$62),RAND()*(Simulate!$C$62-Simulate!$D$62)))))),0),2)</f>
        <v>0</v>
      </c>
      <c r="DA5" s="23">
        <f ca="1">ROUND(IFERROR(IF(Simulate!$F$63=1,1,IF(Simulate!$D$63="",_xlfn.NORM.INV(RAND(),(Simulate!$E$63-Simulate!$C$63)/2,STDEV(Simulate!$E$63,Simulate!$C$63)),_xlfn.NORM.INV(RAND(),(Simulate!$C$63+(4*Simulate!$D$63)+Simulate!$E$63)/6,STDEV(Simulate!$E$63,Simulate!$C$63)))),0),2)</f>
        <v>0</v>
      </c>
      <c r="DB5">
        <f ca="1">ROUND(IFERROR(IF(Simulate!$F$63=1,1,IF(Simulate!$D$63="",_xlfn.NORM.INV(RAND(),(Simulate!$E$63-Simulate!$C$63)/2,(LN(Simulate!$E$63)-LN(Simulate!$C$63))/3.29),_xlfn.NORM.INV(RAND(),(Simulate!$C$63+(4*Simulate!$D$63)+Simulate!$E$63)/6,(LN(Simulate!$E$63)-LN(Simulate!$C$63))/3.29))),0),2)</f>
        <v>0</v>
      </c>
      <c r="DC5" s="22">
        <f ca="1">ROUND(IFERROR(IF(Simulate!$F$63=1,1,(IF(Simulate!$D$63="",_xlfn.LOGNORM.INV(RAND(),(LN(Simulate!$E$63)+LN(Simulate!$C$63))/2,(LN(Simulate!$E$63)-LN(Simulate!$C$63))/3.29),_xlfn.LOGNORM.INV(RAND(),((LN(Simulate!$C$63)+(4*LN(Simulate!$D$63))+LN(Simulate!$E$63))/6),(LN(Simulate!$E$63)-LN(Simulate!$C$63))/3.29)))),0),2)</f>
        <v>0</v>
      </c>
      <c r="DD5">
        <f ca="1">ROUND(IFERROR(IF(Simulate!$F$63=1,1,(IF(Simulate!$D$63="",RAND()*(Simulate!$E$63-Simulate!$C$63)+Simulate!$C$63,(Simulate!$D$63+IF(RAND()&gt;0.5,RAND()*(Simulate!$E$63-Simulate!$D$63),RAND()*(Simulate!$C$63-Simulate!$D$63)))))),0),2)</f>
        <v>0</v>
      </c>
      <c r="DE5" s="23">
        <f ca="1">ROUND(IFERROR(IF(Simulate!$F$64=1,1,IF(Simulate!$D$64="",_xlfn.NORM.INV(RAND(),(Simulate!$E$64-Simulate!$C$64)/2,STDEV(Simulate!$E$64,Simulate!$C$64)),_xlfn.NORM.INV(RAND(),(Simulate!$C$64+(4*Simulate!$D$64)+Simulate!$E$64)/6,STDEV(Simulate!$E$64,Simulate!$C$64)))),0),2)</f>
        <v>0</v>
      </c>
      <c r="DF5">
        <f ca="1">ROUND(IFERROR(IF(Simulate!$F$64=1,1,IF(Simulate!$D$64="",_xlfn.NORM.INV(RAND(),(Simulate!$E$64-Simulate!$C$64)/2,(LN(Simulate!$E$64)-LN(Simulate!$C$64))/3.29),_xlfn.NORM.INV(RAND(),(Simulate!$C$64+(4*Simulate!$D$64)+Simulate!$E$64)/6,(LN(Simulate!$E$64)-LN(Simulate!$C$64))/3.29))),0),2)</f>
        <v>0</v>
      </c>
      <c r="DG5" s="22">
        <f ca="1">ROUND(IFERROR(IF(Simulate!$F$64=1,1,(IF(Simulate!$D$64="",_xlfn.LOGNORM.INV(RAND(),(LN(Simulate!$E$64)+LN(Simulate!$C$64))/2,(LN(Simulate!$E$64)-LN(Simulate!$C$64))/3.29),_xlfn.LOGNORM.INV(RAND(),((LN(Simulate!$C$64)+(4*LN(Simulate!$D$64))+LN(Simulate!$E$64))/6),(LN(Simulate!$E$64)-LN(Simulate!$C$64))/3.29)))),0),2)</f>
        <v>0</v>
      </c>
      <c r="DH5">
        <f ca="1">ROUND(IFERROR(IF(Simulate!$F$64=1,1,(IF(Simulate!$D$64="",RAND()*(Simulate!$E$64-Simulate!$C$64)+Simulate!$C$64,(Simulate!$D$64+IF(RAND()&gt;0.5,RAND()*(Simulate!$E$64-Simulate!$D$64),RAND()*(Simulate!$C$64-Simulate!$D$64)))))),0),2)</f>
        <v>0</v>
      </c>
      <c r="DI5" s="23">
        <f ca="1">ROUND(IFERROR(IF(Simulate!$F$65=1,1,IF(Simulate!$D$65="",_xlfn.NORM.INV(RAND(),(Simulate!$E$65-Simulate!$C$65)/2,STDEV(Simulate!$E$65,Simulate!$C$65)),_xlfn.NORM.INV(RAND(),(Simulate!$C$65+(4*Simulate!$D$65)+Simulate!$E$65)/6,STDEV(Simulate!$E$65,Simulate!$C$65)))),0),2)</f>
        <v>0</v>
      </c>
      <c r="DJ5">
        <f ca="1">ROUND(IFERROR(IF(Simulate!$F$65=1,1,IF(Simulate!$D$65="",_xlfn.NORM.INV(RAND(),(Simulate!$E$65-Simulate!$C$65)/2,(LN(Simulate!$E$65)-LN(Simulate!$C$65))/3.29),_xlfn.NORM.INV(RAND(),(Simulate!$C$65+(4*Simulate!$D$65)+Simulate!$E$65)/6,(LN(Simulate!$E$65)-LN(Simulate!$C$65))/3.29))),0),2)</f>
        <v>0</v>
      </c>
      <c r="DK5" s="22">
        <f ca="1">ROUND(IFERROR(IF(Simulate!$F$65=1,1,(IF(Simulate!$D$65="",_xlfn.LOGNORM.INV(RAND(),(LN(Simulate!$E$65)+LN(Simulate!$C$65))/2,(LN(Simulate!$E$65)-LN(Simulate!$C$65))/3.29),_xlfn.LOGNORM.INV(RAND(),((LN(Simulate!$C$65)+(4*LN(Simulate!$D$65))+LN(Simulate!$E$65))/6),(LN(Simulate!$E$65)-LN(Simulate!$C$65))/3.29)))),0),2)</f>
        <v>0</v>
      </c>
      <c r="DL5">
        <f ca="1">ROUND(IFERROR(IF(Simulate!$F$65=1,1,(IF(Simulate!$D$65="",RAND()*(Simulate!$E$65-Simulate!$C$65)+Simulate!$C$65,(Simulate!$D$65+IF(RAND()&gt;0.5,RAND()*(Simulate!$E$65-Simulate!$D$65),RAND()*(Simulate!$C$65-Simulate!$D$65)))))),0),2)</f>
        <v>0</v>
      </c>
      <c r="DM5" s="23">
        <f ca="1">ROUND(IFERROR(IF(Simulate!$F$66=1,1,IF(Simulate!$D$66="",_xlfn.NORM.INV(RAND(),(Simulate!$E$66-Simulate!$C$66)/2,STDEV(Simulate!$E$66,Simulate!$C$66)),_xlfn.NORM.INV(RAND(),(Simulate!$C$66+(4*Simulate!$D$66)+Simulate!$E$66)/6,STDEV(Simulate!$E$66,Simulate!$C$66)))),0),2)</f>
        <v>0</v>
      </c>
      <c r="DN5">
        <f ca="1">ROUND(IFERROR(IF(Simulate!$F$66=1,1,IF(Simulate!$D$66="",_xlfn.NORM.INV(RAND(),(Simulate!$E$66-Simulate!$C$66)/2,(LN(Simulate!$E$66)-LN(Simulate!$C$66))/3.29),_xlfn.NORM.INV(RAND(),(Simulate!$C$66+(4*Simulate!$D$66)+Simulate!$E$66)/6,(LN(Simulate!$E$66)-LN(Simulate!$C$66))/3.29))),0),2)</f>
        <v>0</v>
      </c>
      <c r="DO5" s="22">
        <f ca="1">ROUND(IFERROR(IF(Simulate!$F$66=1,1,(IF(Simulate!$D$66="",_xlfn.LOGNORM.INV(RAND(),(LN(Simulate!$E$66)+LN(Simulate!$C$66))/2,(LN(Simulate!$E$66)-LN(Simulate!$C$66))/3.29),_xlfn.LOGNORM.INV(RAND(),((LN(Simulate!$C$66)+(4*LN(Simulate!$D$66))+LN(Simulate!$E$66))/6),(LN(Simulate!$E$66)-LN(Simulate!$C$66))/3.29)))),0),2)</f>
        <v>0</v>
      </c>
      <c r="DP5">
        <f ca="1">ROUND(IFERROR(IF(Simulate!$F$66=1,1,(IF(Simulate!$D$66="",RAND()*(Simulate!$E$66-Simulate!$C$66)+Simulate!$C$66,(Simulate!$D$66+IF(RAND()&gt;0.5,RAND()*(Simulate!$E$66-Simulate!$D$66),RAND()*(Simulate!$C$66-Simulate!$D$66)))))),0),2)</f>
        <v>0</v>
      </c>
      <c r="DQ5" s="23">
        <f ca="1">ROUND(IFERROR(IF(Simulate!$F$67=1,1,IF(Simulate!$D$67="",_xlfn.NORM.INV(RAND(),(Simulate!$E$67-Simulate!$C$67)/2,STDEV(Simulate!$E$67,Simulate!$C$67)),_xlfn.NORM.INV(RAND(),(Simulate!$C$67+(4*Simulate!$D$67)+Simulate!$E$67)/6,STDEV(Simulate!$E$67,Simulate!$C$67)))),0),2)</f>
        <v>0</v>
      </c>
      <c r="DR5">
        <f ca="1">ROUND(IFERROR(IF(Simulate!$F$67=1,1,IF(Simulate!$D$67="",_xlfn.NORM.INV(RAND(),(Simulate!$E$67-Simulate!$C$67)/2,(LN(Simulate!$E$67)-LN(Simulate!$C$67))/3.29),_xlfn.NORM.INV(RAND(),(Simulate!$C$67+(4*Simulate!$D$67)+Simulate!$E$67)/6,(LN(Simulate!$E$67)-LN(Simulate!$C$67))/3.29))),0),2)</f>
        <v>0</v>
      </c>
      <c r="DS5" s="22">
        <f ca="1">ROUND(IFERROR(IF(Simulate!$F$67=1,1,(IF(Simulate!$D$67="",_xlfn.LOGNORM.INV(RAND(),(LN(Simulate!$E$67)+LN(Simulate!$C$67))/2,(LN(Simulate!$E$67)-LN(Simulate!$C$67))/3.29),_xlfn.LOGNORM.INV(RAND(),((LN(Simulate!$C$67)+(4*LN(Simulate!$D$67))+LN(Simulate!$E$67))/6),(LN(Simulate!$E$67)-LN(Simulate!$C$67))/3.29)))),0),2)</f>
        <v>0</v>
      </c>
      <c r="DT5">
        <f ca="1">ROUND(IFERROR(IF(Simulate!$F$67=1,1,(IF(Simulate!$D$67="",RAND()*(Simulate!$E$67-Simulate!$C$67)+Simulate!$C$67,(Simulate!$D$67+IF(RAND()&gt;0.5,RAND()*(Simulate!$E$67-Simulate!$D$67),RAND()*(Simulate!$C$67-Simulate!$D$67)))))),0),2)</f>
        <v>0</v>
      </c>
      <c r="DU5" s="23">
        <f ca="1">ROUND(IFERROR(IF(Simulate!$F$68=1,1,IF(Simulate!$D$68="",_xlfn.NORM.INV(RAND(),(Simulate!$E$68-Simulate!$C$68)/2,STDEV(Simulate!$E$68,Simulate!$C$68)),_xlfn.NORM.INV(RAND(),(Simulate!$C$68+(4*Simulate!$D$68)+Simulate!$E$68)/6,STDEV(Simulate!$E$68,Simulate!$C$68)))),0),2)</f>
        <v>0</v>
      </c>
      <c r="DV5">
        <f ca="1">ROUND(IFERROR(IF(Simulate!$F$68=1,1,IF(Simulate!$D$68="",_xlfn.NORM.INV(RAND(),(Simulate!$E$68-Simulate!$C$68)/2,(LN(Simulate!$E$68)-LN(Simulate!$C$68))/3.29),_xlfn.NORM.INV(RAND(),(Simulate!$C$68+(4*Simulate!$D$68)+Simulate!$E$68)/6,(LN(Simulate!$E$68)-LN(Simulate!$C$68))/3.29))),0),2)</f>
        <v>0</v>
      </c>
      <c r="DW5" s="22">
        <f ca="1">ROUND(IFERROR(IF(Simulate!$F$68=1,1,(IF(Simulate!$D$68="",_xlfn.LOGNORM.INV(RAND(),(LN(Simulate!$E$68)+LN(Simulate!$C$68))/2,(LN(Simulate!$E$68)-LN(Simulate!$C$68))/3.29),_xlfn.LOGNORM.INV(RAND(),((LN(Simulate!$C$68)+(4*LN(Simulate!$D$68))+LN(Simulate!$E$68))/6),(LN(Simulate!$E$68)-LN(Simulate!$C$68))/3.29)))),0),2)</f>
        <v>0</v>
      </c>
      <c r="DX5">
        <f ca="1">ROUND(IFERROR(IF(Simulate!$F$68=1,1,(IF(Simulate!$D$68="",RAND()*(Simulate!$E$68-Simulate!$C$68)+Simulate!$C$68,(Simulate!$D$68+IF(RAND()&gt;0.5,RAND()*(Simulate!$E$68-Simulate!$D$68),RAND()*(Simulate!$C$68-Simulate!$D$68)))))),0),2)</f>
        <v>0</v>
      </c>
      <c r="DY5" s="23">
        <f ca="1">ROUND(IFERROR(IF(Simulate!$F$69=1,1,IF(Simulate!$D$69="",_xlfn.NORM.INV(RAND(),(Simulate!$E$69-Simulate!$C$69)/2,STDEV(Simulate!$E$69,Simulate!$C$69)),_xlfn.NORM.INV(RAND(),(Simulate!$C$69+(4*Simulate!$D$69)+Simulate!$E$69)/6,STDEV(Simulate!$E$69,Simulate!$C$69)))),0),2)</f>
        <v>0</v>
      </c>
      <c r="DZ5">
        <f ca="1">ROUND(IFERROR(IF(Simulate!$F$69=1,1,IF(Simulate!$D$69="",_xlfn.NORM.INV(RAND(),(Simulate!$E$69-Simulate!$C$69)/2,(LN(Simulate!$E$69)-LN(Simulate!$C$69))/3.29),_xlfn.NORM.INV(RAND(),(Simulate!$C$69+(4*Simulate!$D$69)+Simulate!$E$69)/6,(LN(Simulate!$E$69)-LN(Simulate!$C$69))/3.29))),0),2)</f>
        <v>0</v>
      </c>
      <c r="EA5" s="22">
        <f ca="1">ROUND(IFERROR(IF(Simulate!$F$69=1,1,(IF(Simulate!$D$69="",_xlfn.LOGNORM.INV(RAND(),(LN(Simulate!$E$69)+LN(Simulate!$C$69))/2,(LN(Simulate!$E$69)-LN(Simulate!$C$69))/3.29),_xlfn.LOGNORM.INV(RAND(),((LN(Simulate!$C$69)+(4*LN(Simulate!$D$69))+LN(Simulate!$E$69))/6),(LN(Simulate!$E$69)-LN(Simulate!$C$69))/3.29)))),0),2)</f>
        <v>0</v>
      </c>
      <c r="EB5">
        <f ca="1">ROUND(IFERROR(IF(Simulate!$F$69=1,1,(IF(Simulate!$D$69="",RAND()*(Simulate!$E$69-Simulate!$C$69)+Simulate!$C$69,(Simulate!$D$69+IF(RAND()&gt;0.5,RAND()*(Simulate!$E$69-Simulate!$D$69),RAND()*(Simulate!$C$69-Simulate!$D$69)))))),0),2)</f>
        <v>0</v>
      </c>
      <c r="EC5" s="23">
        <f ca="1">ROUND(IFERROR(IF(Simulate!$F$70=1,1,IF(Simulate!$D$70="",_xlfn.NORM.INV(RAND(),(Simulate!$E$70-Simulate!$C$70)/2,STDEV(Simulate!$E$70,Simulate!$C$70)),_xlfn.NORM.INV(RAND(),(Simulate!$C$70+(4*Simulate!$D$70)+Simulate!$E$70)/6,STDEV(Simulate!$E$70,Simulate!$C$70)))),0),2)</f>
        <v>0</v>
      </c>
      <c r="ED5">
        <f ca="1">ROUND(IFERROR(IF(Simulate!$F$70=1,1,IF(Simulate!$D$70="",_xlfn.NORM.INV(RAND(),(Simulate!$E$70-Simulate!$C$70)/2,(LN(Simulate!$E$70)-LN(Simulate!$C$70))/3.29),_xlfn.NORM.INV(RAND(),(Simulate!$C$70+(4*Simulate!$D$70)+Simulate!$E$70)/6,(LN(Simulate!$E$70)-LN(Simulate!$C$70))/3.29))),0),2)</f>
        <v>0</v>
      </c>
      <c r="EE5" s="22">
        <f ca="1">ROUND(IFERROR(IF(Simulate!$F$70=1,1,(IF(Simulate!$D$70="",_xlfn.LOGNORM.INV(RAND(),(LN(Simulate!$E$70)+LN(Simulate!$C$70))/2,(LN(Simulate!$E$70)-LN(Simulate!$C$70))/3.29),_xlfn.LOGNORM.INV(RAND(),((LN(Simulate!$C$70)+(4*LN(Simulate!$D$70))+LN(Simulate!$E$70))/6),(LN(Simulate!$E$70)-LN(Simulate!$C$70))/3.29)))),0),2)</f>
        <v>0</v>
      </c>
      <c r="EF5">
        <f ca="1">ROUND(IFERROR(IF(Simulate!$F$70=1,1,(IF(Simulate!$D$70="",RAND()*(Simulate!$E$70-Simulate!$C$70)+Simulate!$C$70,(Simulate!$D$70+IF(RAND()&gt;0.5,RAND()*(Simulate!$E$70-Simulate!$D$70),RAND()*(Simulate!$C$70-Simulate!$D$70)))))),0),2)</f>
        <v>0</v>
      </c>
      <c r="EG5">
        <f ca="1">ROUND((Q5+U5+Y5+AC5+AG5+AK5+AO5+AS5+AW5+BA5)+((BE5*CS5)+(BI5*CW5)+(BM5*DA5)+(BQ5*DE5)+(BU5*DI5)+(BY5*DM5)+(CC5*DQ5)+(CG5*DU5)+(CK5*DY5)+(CO5*EC5)),2)</f>
        <v>0</v>
      </c>
      <c r="EH5">
        <f ca="1">ROUND((R5+V5+Z5+AD5+AH5+AL5+AP5+AT5+AX5+BB5)+((BF5*CT5)+(BJ5*CX5)+(BN5*DB5)+(BR5*DF5)+(BV5*DJ5)+(BZ5*DN5)+(CD5*DR5)+(CH5*DV5)+(CL5*DZ5)+(CP5*ED5)),2)</f>
        <v>0</v>
      </c>
      <c r="EI5">
        <f ca="1">ROUND((S5+W5+AA5+AE5+AI5+AM5+AQ5+AU5+AY5+BC5)+((BG5*CU5)+(BK5*CY5)+(BO5*DC5)+(BS5*DG5)+(BW5*DK5)+(CA5*DO5)+(CE5*DS5)+(CI5*DW5)+(CM5*EA5)+(CQ5*EE5)),2)</f>
        <v>0</v>
      </c>
      <c r="EJ5">
        <f ca="1">ROUND((T5+X5+AB5+AF5+AJ5+AN5+AR5+AV5+AZ5+BD5)+((BH5*CV5)+(BL5*CZ5)+(BP5*DD5)+(BT5*DH5)+(BX5*DL5)+(CB5*DP5)+(CF5*DT5)+(CJ5*DX5)+(CN5*EB5)+(CR5*EF5)),2)</f>
        <v>0</v>
      </c>
      <c r="EK5">
        <f ca="1">ROUND((M5*(Q5+U5+Y5+AC5+AG5+AK5+AO5+AS5+AW5+BA5))+(M5*((BE5*CS5)+(BI5*CW5)+(BM5*DA5)+(BQ5*DE5)+(BU5*DI5)+(BY5*DM5)+(CC5*DQ5)+(CG5*DU5)+(CK5*DY5)+(CO5*EC5))),2)</f>
        <v>0</v>
      </c>
      <c r="EL5">
        <f ca="1">ROUND((N5*(R5+V5+Z5+AD5+AH5+AL5+AP5+AT5+AX5+BB5))+(N5*((BF5*CT5)+(BJ5*CX5)+(BN5*DB5)+(BR5*DF5)+(BV5*DJ5)+(BZ5*DN5)+(CD5*DR5)+(CH5*DV5)+(CL5*DZ5)+(CP5*ED5))),2)</f>
        <v>0</v>
      </c>
      <c r="EM5">
        <f ca="1">ROUND((O5*(S5+W5+AA5+AE5+AI5+AM5+AQ5+AU5+AY5+BC5))+(O5*((BG5*CU5)+(BK5*CY5)+(BO5*DC5)+(BS5*DG5)+(BW5*DK5)+(CA5*DO5)+(CE5*DS5)+(CI5*DW5)+(CM5*EA5)+(CQ5*EE5))),2)</f>
        <v>0</v>
      </c>
      <c r="EN5">
        <f ca="1">ROUND((P5*(T5+X5+AB5+AF5+AJ5+AN5+AR5+AV5+AZ5+BD5))+(P5*((BH5*CV5)+(BL5*CZ5)+(BP5*DD5)+(BT5*DH5)+(BX5*DL5)+(CB5*DP5)+(CF5*DT5)+(CJ5*DX5)+(CN5*EB5)+(CR5*EF5))),2)</f>
        <v>0</v>
      </c>
      <c r="EO5">
        <f ca="1">ROUND(EM5,0)</f>
        <v>0</v>
      </c>
      <c r="EP5">
        <f ca="1">ROUND(MAX(EO:EO),0)</f>
        <v>0</v>
      </c>
      <c r="EQ5">
        <f ca="1">ROUND(MIN(EO:EO),0)</f>
        <v>0</v>
      </c>
      <c r="ER5">
        <f ca="1">ROUND(ROUNDUP(SQRT(COUNT(EO:EO)),0),0)</f>
        <v>1</v>
      </c>
      <c r="ES5">
        <f ca="1">2*(QUARTILE(EO$5:EO$1048576,3)-QUARTILE(EO$5:EO$1048576,1))*(1/(COUNT(EO$5:EO$1048576)^(1/3)))</f>
        <v>0</v>
      </c>
      <c r="ET5">
        <f ca="1">ROUND(EQ5,0)</f>
        <v>0</v>
      </c>
      <c r="EU5">
        <f ca="1">COUNTIF($EO$5:$EO$10321,"&gt;"&amp;ET5)/COUNT($EO$5:$EO$10321)</f>
        <v>0</v>
      </c>
      <c r="EV5">
        <f t="array" aca="1" ref="EV5" ca="1">INDEX(EU5:EU74,MATCH(MIN(ABS(EU5:EU74-0.9)),ABS(EU5:EU74-0.9),0))</f>
        <v>0</v>
      </c>
      <c r="EW5">
        <f ca="1">FREQUENCY($EO$5:$EO$10321,ET5)</f>
        <v>1</v>
      </c>
      <c r="EX5">
        <f ca="1">EW5</f>
        <v>1</v>
      </c>
      <c r="EY5" s="208">
        <f ca="1">EW5/COUNT($EO$5:$EO$10321)</f>
        <v>1</v>
      </c>
      <c r="EZ5" s="15">
        <f ca="1">ROUND(IFERROR(IF('Treatment (Summary)'!$F$19=1,1,IF('Treatment (Summary)'!$D$19="",_xlfn.NORM.INV(RAND(),('Treatment (Summary)'!$E$19-'Treatment (Summary)'!$C$19)/2,STDEV('Treatment (Summary)'!$E$19,'Treatment (Summary)'!$C$19)),_xlfn.NORM.INV(RAND(),('Treatment (Summary)'!$C$19+(4*'Treatment (Summary)'!$D$19)+'Treatment (Summary)'!$E$19)/6,STDEV('Treatment (Summary)'!$E$19,'Treatment (Summary)'!$C$19)))),0),2)</f>
        <v>0</v>
      </c>
      <c r="FA5" s="15">
        <f ca="1">ROUND(IFERROR(IF('Treatment (Summary)'!$F$19=1,1,IF('Treatment (Summary)'!$D$19="",_xlfn.NORM.INV(RAND(),('Treatment (Summary)'!$E$19-'Treatment (Summary)'!$C$19)/2,('Treatment (Summary)'!$E$19-'Treatment (Summary)'!$C$19)/3.29),_xlfn.NORM.INV(RAND(),('Treatment (Summary)'!$C$19+(4*'Treatment (Summary)'!$D$19)+'Treatment (Summary)'!$E$19)/6,('Treatment (Summary)'!$E$19-'Treatment (Summary)'!$C$19)/3.29))),0),2)</f>
        <v>0</v>
      </c>
      <c r="FB5" s="22">
        <f ca="1">ROUND(IFERROR(IF('Treatment (Summary)'!$F$19=1,1,(IF('Treatment (Summary)'!$D$19="",_xlfn.LOGNORM.INV(RAND(),(LN('Treatment (Summary)'!$E$19)+LN('Treatment (Summary)'!$C$19))/2,(LN('Treatment (Summary)'!$E$19)-LN('Treatment (Summary)'!$C$19))/3.29),_xlfn.LOGNORM.INV(RAND(),((LN('Treatment (Summary)'!$C$19)+(4*LN('Treatment (Summary)'!$D$19))+LN('Treatment (Summary)'!$E$19))/6),(LN('Treatment (Summary)'!$E$19)-LN('Treatment (Summary)'!$C$19))/3.29)))),0),2)</f>
        <v>0</v>
      </c>
      <c r="FC5" s="15">
        <f ca="1">ROUND(IFERROR(IF('Treatment (Summary)'!$F$19=1,1,(IF('Treatment (Summary)'!$D$19="",RAND()*('Treatment (Summary)'!$E$19-'Treatment (Summary)'!$C$19)+'Treatment (Summary)'!$C$19,('Treatment (Summary)'!$D$19+IF(RAND()&gt;0.5,RAND()*('Treatment (Summary)'!$E$19-'Treatment (Summary)'!$D$19),RAND()*('Treatment (Summary)'!$C$19-'Treatment (Summary)'!$D$19)))))),0),2)</f>
        <v>0</v>
      </c>
      <c r="FD5" s="15">
        <f ca="1">ROUND(IFERROR(IF('Treatment (Summary)'!$F$20=1,1,IF('Treatment (Summary)'!$D$20="",_xlfn.NORM.INV(RAND(),('Treatment (Summary)'!$E$20-'Treatment (Summary)'!$C$20)/2,STDEV('Treatment (Summary)'!$E$20,'Treatment (Summary)'!$C$20)),_xlfn.NORM.INV(RAND(),('Treatment (Summary)'!$C$20+(4*'Treatment (Summary)'!$D$20)+'Treatment (Summary)'!$E$20)/6,STDEV('Treatment (Summary)'!$E$20,'Treatment (Summary)'!$C$20)))),0),2)</f>
        <v>0</v>
      </c>
      <c r="FE5" s="15">
        <f ca="1">ROUND(IFERROR(IF('Treatment (Summary)'!$F$20=1,1,IF('Treatment (Summary)'!$D$20="",_xlfn.NORM.INV(RAND(),('Treatment (Summary)'!$E$20-'Treatment (Summary)'!$C$20)/2,('Treatment (Summary)'!$E$20-'Treatment (Summary)'!$C$20)/3.29),_xlfn.NORM.INV(RAND(),('Treatment (Summary)'!$C$20+(4*'Treatment (Summary)'!$D$20)+'Treatment (Summary)'!$E$20)/6,('Treatment (Summary)'!$E$20-'Treatment (Summary)'!$C$20)/3.29))),0),2)</f>
        <v>0</v>
      </c>
      <c r="FF5" s="22">
        <f ca="1">ROUND(IFERROR(IF('Treatment (Summary)'!$F$20=1,1,(IF('Treatment (Summary)'!$D$20="",_xlfn.LOGNORM.INV(RAND(),(LN('Treatment (Summary)'!$E$20)+LN('Treatment (Summary)'!$C$20))/2,(LN('Treatment (Summary)'!$E$20)-LN('Treatment (Summary)'!$C$20))/3.29),_xlfn.LOGNORM.INV(RAND(),((LN('Treatment (Summary)'!$C$20)+(4*LN('Treatment (Summary)'!$D$20))+LN('Treatment (Summary)'!$E$20))/6),(LN('Treatment (Summary)'!$E$20)-LN('Treatment (Summary)'!$C$20))/3.29)))),0),2)</f>
        <v>0</v>
      </c>
      <c r="FG5" s="15">
        <f ca="1">ROUND(IFERROR(IF('Treatment (Summary)'!$F$20=1,1,(IF('Treatment (Summary)'!$D$20="",RAND()*('Treatment (Summary)'!$E$20-'Treatment (Summary)'!$C$20)+'Treatment (Summary)'!$C$20,('Treatment (Summary)'!$D$20+IF(RAND()&gt;0.5,RAND()*('Treatment (Summary)'!$E$20-'Treatment (Summary)'!$D$20),RAND()*('Treatment (Summary)'!$C$20-'Treatment (Summary)'!$D$20)))))),0),2)</f>
        <v>0</v>
      </c>
      <c r="FH5" s="15">
        <f ca="1">ROUND(IFERROR(IF('Treatment (Summary)'!$F$21=1,1,IF('Treatment (Summary)'!$D$21="",_xlfn.NORM.INV(RAND(),('Treatment (Summary)'!$E$21-'Treatment (Summary)'!$C$21)/2,STDEV('Treatment (Summary)'!$E$21,'Treatment (Summary)'!$C$21)),_xlfn.NORM.INV(RAND(),('Treatment (Summary)'!$C$21+(4*'Treatment (Summary)'!$D$21)+'Treatment (Summary)'!$E$21)/6,STDEV('Treatment (Summary)'!$E$21,'Treatment (Summary)'!$C$21)))),0),2)</f>
        <v>0</v>
      </c>
      <c r="FI5" s="15">
        <f ca="1">ROUND(IFERROR(IF('Treatment (Summary)'!$F$21=1,1,IF('Treatment (Summary)'!$D$21="",_xlfn.NORM.INV(RAND(),('Treatment (Summary)'!$E$21-'Treatment (Summary)'!$C$21)/2,('Treatment (Summary)'!$E$21-'Treatment (Summary)'!$C$21)/3.29),_xlfn.NORM.INV(RAND(),('Treatment (Summary)'!$C$21+(4*'Treatment (Summary)'!$D$21)+'Treatment (Summary)'!$E$21)/6,('Treatment (Summary)'!$E$21-'Treatment (Summary)'!$C$21)/3.29))),0),2)</f>
        <v>0</v>
      </c>
      <c r="FJ5" s="22">
        <f ca="1">ROUND(IFERROR(IF('Treatment (Summary)'!$F$21=1,1,(IF('Treatment (Summary)'!$D$21="",_xlfn.LOGNORM.INV(RAND(),(LN('Treatment (Summary)'!$E$21)+LN('Treatment (Summary)'!$C$21))/2,(LN('Treatment (Summary)'!$E$21)-LN('Treatment (Summary)'!$C$21))/3.29),_xlfn.LOGNORM.INV(RAND(),((LN('Treatment (Summary)'!$C$21)+(4*LN('Treatment (Summary)'!$D$21))+LN('Treatment (Summary)'!$E$21))/6),(LN('Treatment (Summary)'!$E$21)-LN('Treatment (Summary)'!$C$21))/3.29)))),0),2)</f>
        <v>0</v>
      </c>
      <c r="FK5" s="15">
        <f ca="1">ROUND(IFERROR(IF('Treatment (Summary)'!$F$21=1,1,(IF('Treatment (Summary)'!$D$21="",RAND()*('Treatment (Summary)'!$E$21-'Treatment (Summary)'!$C$21)+'Treatment (Summary)'!$C$21,('Treatment (Summary)'!$D$21+IF(RAND()&gt;0.5,RAND()*('Treatment (Summary)'!$E$21-'Treatment (Summary)'!$D$21),RAND()*('Treatment (Summary)'!$C$21-'Treatment (Summary)'!$D$21)))))),0),2)</f>
        <v>0</v>
      </c>
      <c r="FL5" s="15">
        <f ca="1">ROUND(IFERROR(IF('Treatment (Summary)'!$F$22=1,1,IF('Treatment (Summary)'!$D$22="",_xlfn.NORM.INV(RAND(),('Treatment (Summary)'!$E$22-'Treatment (Summary)'!$C$22)/2,STDEV('Treatment (Summary)'!$E$22,'Treatment (Summary)'!$C$22)),_xlfn.NORM.INV(RAND(),('Treatment (Summary)'!$C$22+(4*'Treatment (Summary)'!$D$22)+'Treatment (Summary)'!$E$22)/6,STDEV('Treatment (Summary)'!$E$22,'Treatment (Summary)'!$C$22)))),0),2)</f>
        <v>0</v>
      </c>
      <c r="FM5" s="15">
        <f ca="1">ROUND(IFERROR(IF('Treatment (Summary)'!$F$22=1,1,IF('Treatment (Summary)'!$D$22="",_xlfn.NORM.INV(RAND(),('Treatment (Summary)'!$E$22-'Treatment (Summary)'!$C$22)/2,('Treatment (Summary)'!$E$22-'Treatment (Summary)'!$C$22)/3.29),_xlfn.NORM.INV(RAND(),('Treatment (Summary)'!$C$22+(4*'Treatment (Summary)'!$D$22)+'Treatment (Summary)'!$E$22)/6,('Treatment (Summary)'!$E$22-'Treatment (Summary)'!$C$22)/3.29))),0),2)</f>
        <v>0</v>
      </c>
      <c r="FN5" s="22">
        <f ca="1">ROUND(IFERROR(IF('Treatment (Summary)'!$F$22=1,1,(IF('Treatment (Summary)'!$D$22="",_xlfn.LOGNORM.INV(RAND(),(LN('Treatment (Summary)'!$E$22)+LN('Treatment (Summary)'!$C$22))/2,(LN('Treatment (Summary)'!$E$22)-LN('Treatment (Summary)'!$C$22))/3.29),_xlfn.LOGNORM.INV(RAND(),((LN('Treatment (Summary)'!$C$22)+(4*LN('Treatment (Summary)'!$D$22))+LN('Treatment (Summary)'!$E$22))/6),(LN('Treatment (Summary)'!$E$22)-LN('Treatment (Summary)'!$C$22))/3.29)))),0),2)</f>
        <v>0</v>
      </c>
      <c r="FO5" s="15">
        <f ca="1">ROUND(IFERROR(IF('Treatment (Summary)'!$F$22=1,1,(IF('Treatment (Summary)'!$D$22="",RAND()*('Treatment (Summary)'!$E$22-'Treatment (Summary)'!$C$22)+'Treatment (Summary)'!$C$22,('Treatment (Summary)'!$D$22+IF(RAND()&gt;0.5,RAND()*('Treatment (Summary)'!$E$22-'Treatment (Summary)'!$D$22),RAND()*('Treatment (Summary)'!$C$22-'Treatment (Summary)'!$D$22)))))),0),2)</f>
        <v>0</v>
      </c>
      <c r="FP5" s="15">
        <f ca="1">ROUND(IFERROR(IF('Treatment (Summary)'!$F$23=1,1,IF('Treatment (Summary)'!$D$23="",_xlfn.NORM.INV(RAND(),('Treatment (Summary)'!$E$23-'Treatment (Summary)'!$C$23)/2,STDEV('Treatment (Summary)'!$E$23,'Treatment (Summary)'!$C$23)),_xlfn.NORM.INV(RAND(),('Treatment (Summary)'!$C$23+(4*'Treatment (Summary)'!$D$23)+'Treatment (Summary)'!$E$23)/6,STDEV('Treatment (Summary)'!$E$23,'Treatment (Summary)'!$C$23)))),0),2)</f>
        <v>0</v>
      </c>
      <c r="FQ5" s="15">
        <f ca="1">ROUND(IFERROR(IF('Treatment (Summary)'!$F$23=1,1,IF('Treatment (Summary)'!$D$23="",_xlfn.NORM.INV(RAND(),('Treatment (Summary)'!$E$23-'Treatment (Summary)'!$C$23)/2,('Treatment (Summary)'!$E$23-'Treatment (Summary)'!$C$23)/3.29),_xlfn.NORM.INV(RAND(),('Treatment (Summary)'!$C$23+(4*'Treatment (Summary)'!$D$23)+'Treatment (Summary)'!$E$23)/6,('Treatment (Summary)'!$E$23-'Treatment (Summary)'!$C$23)/3.29))),0),2)</f>
        <v>0</v>
      </c>
      <c r="FR5" s="22">
        <f ca="1">ROUND(IFERROR(IF('Treatment (Summary)'!$F$23=1,1,(IF('Treatment (Summary)'!$D$23="",_xlfn.LOGNORM.INV(RAND(),(LN('Treatment (Summary)'!$E$23)+LN('Treatment (Summary)'!$C$23))/2,(LN('Treatment (Summary)'!$E$23)-LN('Treatment (Summary)'!$C$23))/3.29),_xlfn.LOGNORM.INV(RAND(),((LN('Treatment (Summary)'!$C$23)+(4*LN('Treatment (Summary)'!$D$23))+LN('Treatment (Summary)'!$E$23))/6),(LN('Treatment (Summary)'!$E$23)-LN('Treatment (Summary)'!$C$23))/3.29)))),0),2)</f>
        <v>0</v>
      </c>
      <c r="FS5" s="15">
        <f ca="1">ROUND(IFERROR(IF('Treatment (Summary)'!$F$23=1,1,(IF('Treatment (Summary)'!$D$23="",RAND()*('Treatment (Summary)'!$E$23-'Treatment (Summary)'!$C$23)+'Treatment (Summary)'!$C$23,('Treatment (Summary)'!$D$23+IF(RAND()&gt;0.5,RAND()*('Treatment (Summary)'!$E$23-'Treatment (Summary)'!$D$23),RAND()*('Treatment (Summary)'!$C$23-'Treatment (Summary)'!$D$23)))))),0),2)</f>
        <v>0</v>
      </c>
      <c r="FT5" s="15">
        <f ca="1">ROUND(IFERROR(IF('Treatment (Summary)'!$F$24=1,1,IF('Treatment (Summary)'!$D$24="",_xlfn.NORM.INV(RAND(),('Treatment (Summary)'!$E$24-'Treatment (Summary)'!$C$24)/2,STDEV('Treatment (Summary)'!$E$24,'Treatment (Summary)'!$C$24)),_xlfn.NORM.INV(RAND(),('Treatment (Summary)'!$C$24+(4*'Treatment (Summary)'!$D$24)+'Treatment (Summary)'!$E$24)/6,STDEV('Treatment (Summary)'!$E$24,'Treatment (Summary)'!$C$24)))),0),2)</f>
        <v>0</v>
      </c>
      <c r="FU5" s="15">
        <f ca="1">ROUND(IFERROR(IF('Treatment (Summary)'!$F$24=1,1,IF('Treatment (Summary)'!$D$24="",_xlfn.NORM.INV(RAND(),('Treatment (Summary)'!$E$24-'Treatment (Summary)'!$C$24)/2,('Treatment (Summary)'!$E$24-'Treatment (Summary)'!$C$24)/3.29),_xlfn.NORM.INV(RAND(),('Treatment (Summary)'!$C$24+(4*'Treatment (Summary)'!$D$24)+'Treatment (Summary)'!$E$24)/6,('Treatment (Summary)'!$E$24-'Treatment (Summary)'!$C$24)/3.29))),0),2)</f>
        <v>0</v>
      </c>
      <c r="FV5" s="22">
        <f ca="1">ROUND(IFERROR(IF('Treatment (Summary)'!$F$24=1,1,(IF('Treatment (Summary)'!$D$24="",_xlfn.LOGNORM.INV(RAND(),(LN('Treatment (Summary)'!$E$24)+LN('Treatment (Summary)'!$C$24))/2,(LN('Treatment (Summary)'!$E$24)-LN('Treatment (Summary)'!$C$24))/3.29),_xlfn.LOGNORM.INV(RAND(),((LN('Treatment (Summary)'!$C$24)+(4*LN('Treatment (Summary)'!$D$24))+LN('Treatment (Summary)'!$E$24))/6),(LN('Treatment (Summary)'!$E$24)-LN('Treatment (Summary)'!$C$24))/3.29)))),0),2)</f>
        <v>0</v>
      </c>
      <c r="FW5" s="15">
        <f ca="1">ROUND(IFERROR(IF('Treatment (Summary)'!$F$24=1,1,(IF('Treatment (Summary)'!$D$24="",RAND()*('Treatment (Summary)'!$E$24-'Treatment (Summary)'!$C$24)+'Treatment (Summary)'!$C$24,('Treatment (Summary)'!$D$24+IF(RAND()&gt;0.5,RAND()*('Treatment (Summary)'!$E$24-'Treatment (Summary)'!$D$24),RAND()*('Treatment (Summary)'!$C$24-'Treatment (Summary)'!$D$24)))))),0),2)</f>
        <v>0</v>
      </c>
      <c r="FX5" s="15">
        <f ca="1">ROUND(IFERROR(IF('Treatment (Summary)'!$F$25=1,1,IF('Treatment (Summary)'!$D$25="",_xlfn.NORM.INV(RAND(),('Treatment (Summary)'!$E$25-'Treatment (Summary)'!$C$25)/2,STDEV('Treatment (Summary)'!$E$25,'Treatment (Summary)'!$C$25)),_xlfn.NORM.INV(RAND(),('Treatment (Summary)'!$C$25+(4*'Treatment (Summary)'!$D$25)+'Treatment (Summary)'!$E$25)/6,STDEV('Treatment (Summary)'!$E$25,'Treatment (Summary)'!$C$25)))),0),2)</f>
        <v>0</v>
      </c>
      <c r="FY5" s="15">
        <f ca="1">ROUND(IFERROR(IF('Treatment (Summary)'!$F$25=1,1,IF('Treatment (Summary)'!$D$25="",_xlfn.NORM.INV(RAND(),('Treatment (Summary)'!$E$25-'Treatment (Summary)'!$C$25)/2,('Treatment (Summary)'!$E$25-'Treatment (Summary)'!$C$25)/3.29),_xlfn.NORM.INV(RAND(),('Treatment (Summary)'!$C$25+(4*'Treatment (Summary)'!$D$25)+'Treatment (Summary)'!$E$25)/6,('Treatment (Summary)'!$E$25-'Treatment (Summary)'!$C$25)/3.29))),0),2)</f>
        <v>0</v>
      </c>
      <c r="FZ5" s="22">
        <f ca="1">ROUND(IFERROR(IF('Treatment (Summary)'!$F$25=1,1,(IF('Treatment (Summary)'!$D$25="",_xlfn.LOGNORM.INV(RAND(),(LN('Treatment (Summary)'!$E$25)+LN('Treatment (Summary)'!$C$25))/2,(LN('Treatment (Summary)'!$E$25)-LN('Treatment (Summary)'!$C$25))/3.29),_xlfn.LOGNORM.INV(RAND(),((LN('Treatment (Summary)'!$C$25)+(4*LN('Treatment (Summary)'!$D$25))+LN('Treatment (Summary)'!$E$25))/6),(LN('Treatment (Summary)'!$E$25)-LN('Treatment (Summary)'!$C$25))/3.29)))),0),2)</f>
        <v>0</v>
      </c>
      <c r="GA5" s="15">
        <f ca="1">ROUND(IFERROR(IF('Treatment (Summary)'!$F$25=1,1,(IF('Treatment (Summary)'!$D$25="",RAND()*('Treatment (Summary)'!$E$25-'Treatment (Summary)'!$C$25)+'Treatment (Summary)'!$C$25,('Treatment (Summary)'!$D$25+IF(RAND()&gt;0.5,RAND()*('Treatment (Summary)'!$E$25-'Treatment (Summary)'!$D$25),RAND()*('Treatment (Summary)'!$C$25-'Treatment (Summary)'!$D$25)))))),0),2)</f>
        <v>0</v>
      </c>
      <c r="GB5" s="15">
        <f ca="1">ROUND(IFERROR(IF('Treatment (Summary)'!$F$26=1,1,IF('Treatment (Summary)'!$D$26="",_xlfn.NORM.INV(RAND(),('Treatment (Summary)'!$E$26-'Treatment (Summary)'!$C$26)/2,STDEV('Treatment (Summary)'!$E$26,'Treatment (Summary)'!$C$26)),_xlfn.NORM.INV(RAND(),('Treatment (Summary)'!$C$26+(4*'Treatment (Summary)'!$D$26)+'Treatment (Summary)'!$E$26)/6,STDEV('Treatment (Summary)'!$E$26,'Treatment (Summary)'!$C$26)))),0),2)</f>
        <v>0</v>
      </c>
      <c r="GC5" s="15">
        <f ca="1">ROUND(IFERROR(IF('Treatment (Summary)'!$F$26=1,1,IF('Treatment (Summary)'!$D$26="",_xlfn.NORM.INV(RAND(),('Treatment (Summary)'!$E$26-'Treatment (Summary)'!$C$26)/2,('Treatment (Summary)'!$E$26-'Treatment (Summary)'!$C$26)/3.29),_xlfn.NORM.INV(RAND(),('Treatment (Summary)'!$C$26+(4*'Treatment (Summary)'!$D$26)+'Treatment (Summary)'!$E$26)/6,('Treatment (Summary)'!$E$26-'Treatment (Summary)'!$C$26)/3.29))),0),2)</f>
        <v>0</v>
      </c>
      <c r="GD5" s="22">
        <f ca="1">ROUND(IFERROR(IF('Treatment (Summary)'!$F$26=1,1,(IF('Treatment (Summary)'!$D$26="",_xlfn.LOGNORM.INV(RAND(),(LN('Treatment (Summary)'!$E$26)+LN('Treatment (Summary)'!$C$26))/2,(LN('Treatment (Summary)'!$E$26)-LN('Treatment (Summary)'!$C$26))/3.29),_xlfn.LOGNORM.INV(RAND(),((LN('Treatment (Summary)'!$C$26)+(4*LN('Treatment (Summary)'!$D$26))+LN('Treatment (Summary)'!$E$26))/6),(LN('Treatment (Summary)'!$E$26)-LN('Treatment (Summary)'!$C$26))/3.29)))),0),2)</f>
        <v>0</v>
      </c>
      <c r="GE5" s="15">
        <f ca="1">ROUND(IFERROR(IF('Treatment (Summary)'!$F$26=1,1,(IF('Treatment (Summary)'!$D$26="",RAND()*('Treatment (Summary)'!$E$26-'Treatment (Summary)'!$C$26)+'Treatment (Summary)'!$C$26,('Treatment (Summary)'!$D$26+IF(RAND()&gt;0.5,RAND()*('Treatment (Summary)'!$E$26-'Treatment (Summary)'!$D$26),RAND()*('Treatment (Summary)'!$C$26-'Treatment (Summary)'!$D$26)))))),0),2)</f>
        <v>0</v>
      </c>
      <c r="GF5" s="15">
        <f ca="1">ROUND(IFERROR(IF('Treatment (Summary)'!$F$27=1,1,IF('Treatment (Summary)'!$D$27="",_xlfn.NORM.INV(RAND(),('Treatment (Summary)'!$E$27-'Treatment (Summary)'!$C$27)/2,STDEV('Treatment (Summary)'!$E$27,'Treatment (Summary)'!$C$27)),_xlfn.NORM.INV(RAND(),('Treatment (Summary)'!$C$27+(4*'Treatment (Summary)'!$D$27)+'Treatment (Summary)'!$E$27)/6,STDEV('Treatment (Summary)'!$E$27,'Treatment (Summary)'!$C$27)))),0),2)</f>
        <v>0</v>
      </c>
      <c r="GG5" s="15">
        <f ca="1">ROUND(IFERROR(IF('Treatment (Summary)'!$F$27=1,1,IF('Treatment (Summary)'!$D$27="",_xlfn.NORM.INV(RAND(),('Treatment (Summary)'!$E$27-'Treatment (Summary)'!$C$27)/2,('Treatment (Summary)'!$E$27-'Treatment (Summary)'!$C$27)/3.29),_xlfn.NORM.INV(RAND(),('Treatment (Summary)'!$C$27+(4*'Treatment (Summary)'!$D$27)+'Treatment (Summary)'!$E$27)/6,('Treatment (Summary)'!$E$27-'Treatment (Summary)'!$C$27)/3.29))),0),2)</f>
        <v>0</v>
      </c>
      <c r="GH5" s="22">
        <f ca="1">ROUND(IFERROR(IF('Treatment (Summary)'!$F$27=1,1,(IF('Treatment (Summary)'!$D$27="",_xlfn.LOGNORM.INV(RAND(),(LN('Treatment (Summary)'!$E$27)+LN('Treatment (Summary)'!$C$27))/2,(LN('Treatment (Summary)'!$E$27)-LN('Treatment (Summary)'!$C$27))/3.29),_xlfn.LOGNORM.INV(RAND(),((LN('Treatment (Summary)'!$C$27)+(4*LN('Treatment (Summary)'!$D$27))+LN('Treatment (Summary)'!$E$27))/6),(LN('Treatment (Summary)'!$E$27)-LN('Treatment (Summary)'!$C$27))/3.29)))),0),2)</f>
        <v>0</v>
      </c>
      <c r="GI5" s="15">
        <f ca="1">ROUND(IFERROR(IF('Treatment (Summary)'!$F$27=1,1,(IF('Treatment (Summary)'!$D$27="",RAND()*('Treatment (Summary)'!$E$27-'Treatment (Summary)'!$C$27)+'Treatment (Summary)'!$C$27,('Treatment (Summary)'!$D$27+IF(RAND()&gt;0.5,RAND()*('Treatment (Summary)'!$E$27-'Treatment (Summary)'!$D$27),RAND()*('Treatment (Summary)'!$C$27-'Treatment (Summary)'!$D$27)))))),0),2)</f>
        <v>0</v>
      </c>
      <c r="GJ5" s="15">
        <f ca="1">ROUND(IFERROR(IF('Treatment (Summary)'!$F$28=1,1,IF('Treatment (Summary)'!$D$28="",_xlfn.NORM.INV(RAND(),('Treatment (Summary)'!$E$28-'Treatment (Summary)'!$C$28)/2,STDEV('Treatment (Summary)'!$E$28,'Treatment (Summary)'!$C$28)),_xlfn.NORM.INV(RAND(),('Treatment (Summary)'!$C$28+(4*'Treatment (Summary)'!$D$28)+'Treatment (Summary)'!$E$28)/6,STDEV('Treatment (Summary)'!$E$28,'Treatment (Summary)'!$C$28)))),0),2)</f>
        <v>0</v>
      </c>
      <c r="GK5" s="15">
        <f ca="1">ROUND(IFERROR(IF('Treatment (Summary)'!$F$28=1,1,IF('Treatment (Summary)'!$D$28="",_xlfn.NORM.INV(RAND(),('Treatment (Summary)'!$E$28-'Treatment (Summary)'!$C$28)/2,('Treatment (Summary)'!$E$28-'Treatment (Summary)'!$C$28)/3.29),_xlfn.NORM.INV(RAND(),('Treatment (Summary)'!$C$28+(4*'Treatment (Summary)'!$D$28)+'Treatment (Summary)'!$E$28)/6,('Treatment (Summary)'!$E$28-'Treatment (Summary)'!$C$28)/3.29))),0),2)</f>
        <v>0</v>
      </c>
      <c r="GL5" s="22">
        <f ca="1">ROUND(IFERROR(IF('Treatment (Summary)'!$F$28=1,1,(IF('Treatment (Summary)'!$D$28="",_xlfn.LOGNORM.INV(RAND(),(LN('Treatment (Summary)'!$E$28)+LN('Treatment (Summary)'!$C$28))/2,(LN('Treatment (Summary)'!$E$28)-LN('Treatment (Summary)'!$C$28))/3.29),_xlfn.LOGNORM.INV(RAND(),((LN('Treatment (Summary)'!$C$28)+(4*LN('Treatment (Summary)'!$D$28))+LN('Treatment (Summary)'!$E$28))/6),(LN('Treatment (Summary)'!$E$28)-LN('Treatment (Summary)'!$C$28))/3.29)))),0),2)</f>
        <v>0</v>
      </c>
      <c r="GM5" s="15">
        <f ca="1">ROUND(IFERROR(IF('Treatment (Summary)'!$F$28=1,1,(IF('Treatment (Summary)'!$D$28="",RAND()*('Treatment (Summary)'!$E$28-'Treatment (Summary)'!$C$28)+'Treatment (Summary)'!$C$28,('Treatment (Summary)'!$D$28+IF(RAND()&gt;0.5,RAND()*('Treatment (Summary)'!$E$28-'Treatment (Summary)'!$D$28),RAND()*('Treatment (Summary)'!$C$28-'Treatment (Summary)'!$D$28)))))),0),2)</f>
        <v>0</v>
      </c>
      <c r="GN5">
        <f ca="1">ROUND(IFERROR(IF('Treatment (Summary)'!$F$34=1,1,IF('Treatment (Summary)'!$D$34="",_xlfn.NORM.INV(RAND(),('Treatment (Summary)'!$E$34-'Treatment (Summary)'!$C$34)/2,STDEV('Treatment (Summary)'!$E$34,'Treatment (Summary)'!$C$34)),_xlfn.NORM.INV(RAND(),('Treatment (Summary)'!$C$34+(4*'Treatment (Summary)'!$D$34)+'Treatment (Summary)'!$E$34)/6,STDEV('Treatment (Summary)'!$E$34,'Treatment (Summary)'!$C$34)))),0),2)</f>
        <v>0</v>
      </c>
      <c r="GO5">
        <f ca="1">ROUND(IFERROR(IF('Treatment (Summary)'!$F$34=1,1,IF('Treatment (Summary)'!$D$34="",_xlfn.NORM.INV(RAND(),('Treatment (Summary)'!$E$34-'Treatment (Summary)'!$C$34)/2,(LN('Treatment (Summary)'!$E$34)-LN('Treatment (Summary)'!$C$34))/3.29),_xlfn.NORM.INV(RAND(),('Treatment (Summary)'!$C$34+(4*'Treatment (Summary)'!$D$34)+'Treatment (Summary)'!$E$34)/6,(LN('Treatment (Summary)'!$E$34)-LN('Treatment (Summary)'!$C$34))/3.29))),0),2)</f>
        <v>0</v>
      </c>
      <c r="GP5" s="22">
        <f ca="1">ROUND(IFERROR(IF('Treatment (Summary)'!$F$34=1,1,(IF('Treatment (Summary)'!$D$34="",_xlfn.LOGNORM.INV(RAND(),(LN('Treatment (Summary)'!$E$34)+LN('Treatment (Summary)'!$C$34))/2,(LN('Treatment (Summary)'!$E$34)-LN('Treatment (Summary)'!$C$34))/3.29),_xlfn.LOGNORM.INV(RAND(),((LN('Treatment (Summary)'!$C$34)+(4*LN('Treatment (Summary)'!$D$34))+LN('Treatment (Summary)'!$E$34))/6),(LN('Treatment (Summary)'!$E$34)-LN('Treatment (Summary)'!$C$34))/3.29)))),0),2)</f>
        <v>0</v>
      </c>
      <c r="GQ5">
        <f ca="1">ROUND(IFERROR(IF('Treatment (Summary)'!$F$34=1,1,(IF('Treatment (Summary)'!$D$34="",RAND()*('Treatment (Summary)'!$E$34-'Treatment (Summary)'!$C$34)+'Treatment (Summary)'!$C$34,('Treatment (Summary)'!$D$34+IF(RAND()&gt;0.5,RAND()*('Treatment (Summary)'!$E$34-'Treatment (Summary)'!$D$34),RAND()*('Treatment (Summary)'!$C$34-'Treatment (Summary)'!$D$34)))))),0),2)</f>
        <v>0</v>
      </c>
      <c r="GR5">
        <f ca="1">ROUND(IFERROR(IF('Treatment (Summary)'!$F$35=1,1,IF('Treatment (Summary)'!$D$35="",_xlfn.NORM.INV(RAND(),('Treatment (Summary)'!$E$35-'Treatment (Summary)'!$C$35)/2,STDEV('Treatment (Summary)'!$E$35,'Treatment (Summary)'!$C$35)),_xlfn.NORM.INV(RAND(),('Treatment (Summary)'!$C$35+(4*'Treatment (Summary)'!$D$35)+'Treatment (Summary)'!$E$35)/6,STDEV('Treatment (Summary)'!$E$35,'Treatment (Summary)'!$C$35)))),0),2)</f>
        <v>0</v>
      </c>
      <c r="GS5">
        <f ca="1">ROUND(IFERROR(IF('Treatment (Summary)'!$F$35=1,1,IF('Treatment (Summary)'!$D$35="",_xlfn.NORM.INV(RAND(),('Treatment (Summary)'!$E$35-'Treatment (Summary)'!$C$35)/2,(LN('Treatment (Summary)'!$E$35)-LN('Treatment (Summary)'!$C$35))/3.29),_xlfn.NORM.INV(RAND(),('Treatment (Summary)'!$C$35+(4*'Treatment (Summary)'!$D$35)+'Treatment (Summary)'!$E$35)/6,(LN('Treatment (Summary)'!$E$35)-LN('Treatment (Summary)'!$C$35))/3.29))),0),2)</f>
        <v>0</v>
      </c>
      <c r="GT5" s="22">
        <f ca="1">ROUND(IFERROR(IF('Treatment (Summary)'!$F$35=1,1,(IF('Treatment (Summary)'!$D$35="",_xlfn.LOGNORM.INV(RAND(),(LN('Treatment (Summary)'!$E$35)+LN('Treatment (Summary)'!$C$35))/2,(LN('Treatment (Summary)'!$E$35)-LN('Treatment (Summary)'!$C$35))/3.29),_xlfn.LOGNORM.INV(RAND(),((LN('Treatment (Summary)'!$C$35)+(4*LN('Treatment (Summary)'!$D$35))+LN('Treatment (Summary)'!$E$35))/6),(LN('Treatment (Summary)'!$E$35)-LN('Treatment (Summary)'!$C$35))/3.29)))),0),2)</f>
        <v>0</v>
      </c>
      <c r="GU5">
        <f ca="1">ROUND(IFERROR(IF('Treatment (Summary)'!$F$35=1,1,(IF('Treatment (Summary)'!$D$35="",RAND()*('Treatment (Summary)'!$E$35-'Treatment (Summary)'!$C$35)+'Treatment (Summary)'!$C$35,('Treatment (Summary)'!$D$35+IF(RAND()&gt;0.5,RAND()*('Treatment (Summary)'!$E$35-'Treatment (Summary)'!$D$35),RAND()*('Treatment (Summary)'!$C$35-'Treatment (Summary)'!$D$35)))))),0),2)</f>
        <v>0</v>
      </c>
      <c r="GV5">
        <f ca="1">ROUND(IFERROR(IF('Treatment (Summary)'!$F$36=1,1,IF('Treatment (Summary)'!$D$36="",_xlfn.NORM.INV(RAND(),('Treatment (Summary)'!$E$36-'Treatment (Summary)'!$C$36)/2,STDEV('Treatment (Summary)'!$E$36,'Treatment (Summary)'!$C$36)),_xlfn.NORM.INV(RAND(),('Treatment (Summary)'!$C$36+(4*'Treatment (Summary)'!$D$36)+'Treatment (Summary)'!$E$36)/6,STDEV('Treatment (Summary)'!$E$36,'Treatment (Summary)'!$C$36)))),0),2)</f>
        <v>0</v>
      </c>
      <c r="GW5">
        <f ca="1">ROUND(IFERROR(IF('Treatment (Summary)'!$F$36=1,1,IF('Treatment (Summary)'!$D$36="",_xlfn.NORM.INV(RAND(),('Treatment (Summary)'!$E$36-'Treatment (Summary)'!$C$36)/2,(LN('Treatment (Summary)'!$E$36)-LN('Treatment (Summary)'!$C$36))/3.29),_xlfn.NORM.INV(RAND(),('Treatment (Summary)'!$C$36+(4*'Treatment (Summary)'!$D$36)+'Treatment (Summary)'!$E$36)/6,(LN('Treatment (Summary)'!$E$36)-LN('Treatment (Summary)'!$C$36))/3.29))),0),2)</f>
        <v>0</v>
      </c>
      <c r="GX5" s="22">
        <f ca="1">ROUND(IFERROR(IF('Treatment (Summary)'!$F$36=1,1,(IF('Treatment (Summary)'!$D$36="",_xlfn.LOGNORM.INV(RAND(),(LN('Treatment (Summary)'!$E$36)+LN('Treatment (Summary)'!$C$36))/2,(LN('Treatment (Summary)'!$E$36)-LN('Treatment (Summary)'!$C$36))/3.29),_xlfn.LOGNORM.INV(RAND(),((LN('Treatment (Summary)'!$C$36)+(4*LN('Treatment (Summary)'!$D$36))+LN('Treatment (Summary)'!$E$36))/6),(LN('Treatment (Summary)'!$E$36)-LN('Treatment (Summary)'!$C$36))/3.29)))),0),2)</f>
        <v>0</v>
      </c>
      <c r="GY5">
        <f ca="1">ROUND(IFERROR(IF('Treatment (Summary)'!$F$36=1,1,(IF('Treatment (Summary)'!$D$36="",RAND()*('Treatment (Summary)'!$E$36-'Treatment (Summary)'!$C$36)+'Treatment (Summary)'!$C$36,('Treatment (Summary)'!$D$36+IF(RAND()&gt;0.5,RAND()*('Treatment (Summary)'!$E$36-'Treatment (Summary)'!$D$36),RAND()*('Treatment (Summary)'!$C$36-'Treatment (Summary)'!$D$36)))))),0),2)</f>
        <v>0</v>
      </c>
      <c r="GZ5">
        <f ca="1">ROUND(IFERROR(IF('Treatment (Summary)'!$F$37=1,1,IF('Treatment (Summary)'!$D$37="",_xlfn.NORM.INV(RAND(),('Treatment (Summary)'!$E$37-'Treatment (Summary)'!$C$37)/2,STDEV('Treatment (Summary)'!$E$37,'Treatment (Summary)'!$C$37)),_xlfn.NORM.INV(RAND(),('Treatment (Summary)'!$C$37+(4*'Treatment (Summary)'!$D$37)+'Treatment (Summary)'!$E$37)/6,STDEV('Treatment (Summary)'!$E$37,'Treatment (Summary)'!$C$37)))),0),2)</f>
        <v>0</v>
      </c>
      <c r="HA5">
        <f ca="1">ROUND(IFERROR(IF('Treatment (Summary)'!$F$37=1,1,IF('Treatment (Summary)'!$D$37="",_xlfn.NORM.INV(RAND(),('Treatment (Summary)'!$E$37-'Treatment (Summary)'!$C$37)/2,(LN('Treatment (Summary)'!$E$37)-LN('Treatment (Summary)'!$C$37))/3.29),_xlfn.NORM.INV(RAND(),('Treatment (Summary)'!$C$37+(4*'Treatment (Summary)'!$D$37)+'Treatment (Summary)'!$E$37)/6,(LN('Treatment (Summary)'!$E$37)-LN('Treatment (Summary)'!$C$37))/3.29))),0),2)</f>
        <v>0</v>
      </c>
      <c r="HB5" s="22">
        <f ca="1">ROUND(IFERROR(IF('Treatment (Summary)'!$F$37=1,1,(IF('Treatment (Summary)'!$D$37="",_xlfn.LOGNORM.INV(RAND(),(LN('Treatment (Summary)'!$E$37)+LN('Treatment (Summary)'!$C$37))/2,(LN('Treatment (Summary)'!$E$37)-LN('Treatment (Summary)'!$C$37))/3.29),_xlfn.LOGNORM.INV(RAND(),((LN('Treatment (Summary)'!$C$37)+(4*LN('Treatment (Summary)'!$D$37))+LN('Treatment (Summary)'!$E$37))/6),(LN('Treatment (Summary)'!$E$37)-LN('Treatment (Summary)'!$C$37))/3.29)))),0),2)</f>
        <v>0</v>
      </c>
      <c r="HC5">
        <f ca="1">ROUND(IFERROR(IF('Treatment (Summary)'!$F$37=1,1,(IF('Treatment (Summary)'!$D$37="",RAND()*('Treatment (Summary)'!$E$37-'Treatment (Summary)'!$C$37)+'Treatment (Summary)'!$C$37,('Treatment (Summary)'!$D$37+IF(RAND()&gt;0.5,RAND()*('Treatment (Summary)'!$E$37-'Treatment (Summary)'!$D$37),RAND()*('Treatment (Summary)'!$C$37-'Treatment (Summary)'!$D$37)))))),0),2)</f>
        <v>0</v>
      </c>
      <c r="HD5">
        <f ca="1">ROUND(IFERROR(IF('Treatment (Summary)'!$F$38=1,1,IF('Treatment (Summary)'!$D$38="",_xlfn.NORM.INV(RAND(),('Treatment (Summary)'!$E$38-'Treatment (Summary)'!$C$38)/2,STDEV('Treatment (Summary)'!$E$38,'Treatment (Summary)'!$C$38)),_xlfn.NORM.INV(RAND(),('Treatment (Summary)'!$C$38+(4*'Treatment (Summary)'!$D$38)+'Treatment (Summary)'!$E$38)/6,STDEV('Treatment (Summary)'!$E$38,'Treatment (Summary)'!$C$38)))),0),2)</f>
        <v>0</v>
      </c>
      <c r="HE5">
        <f ca="1">ROUND(IFERROR(IF('Treatment (Summary)'!$F$38=1,1,IF('Treatment (Summary)'!$D$38="",_xlfn.NORM.INV(RAND(),('Treatment (Summary)'!$E$38-'Treatment (Summary)'!$C$38)/2,(LN('Treatment (Summary)'!$E$38)-LN('Treatment (Summary)'!$C$38))/3.29),_xlfn.NORM.INV(RAND(),('Treatment (Summary)'!$C$38+(4*'Treatment (Summary)'!$D$38)+'Treatment (Summary)'!$E$38)/6,(LN('Treatment (Summary)'!$E$38)-LN('Treatment (Summary)'!$C$38))/3.29))),0),2)</f>
        <v>0</v>
      </c>
      <c r="HF5" s="22">
        <f ca="1">ROUND(IFERROR(IF('Treatment (Summary)'!$F$38=1,1,(IF('Treatment (Summary)'!$D$38="",_xlfn.LOGNORM.INV(RAND(),(LN('Treatment (Summary)'!$E$38)+LN('Treatment (Summary)'!$C$38))/2,(LN('Treatment (Summary)'!$E$38)-LN('Treatment (Summary)'!$C$38))/3.29),_xlfn.LOGNORM.INV(RAND(),((LN('Treatment (Summary)'!$C$38)+(4*LN('Treatment (Summary)'!$D$38))+LN('Treatment (Summary)'!$E$38))/6),(LN('Treatment (Summary)'!$E$38)-LN('Treatment (Summary)'!$C$38))/3.29)))),0),2)</f>
        <v>0</v>
      </c>
      <c r="HG5">
        <f ca="1">ROUND(IFERROR(IF('Treatment (Summary)'!$F$38=1,1,(IF('Treatment (Summary)'!$D$38="",RAND()*('Treatment (Summary)'!$E$38-'Treatment (Summary)'!$C$38)+'Treatment (Summary)'!$C$38,('Treatment (Summary)'!$D$38+IF(RAND()&gt;0.5,RAND()*('Treatment (Summary)'!$E$38-'Treatment (Summary)'!$D$38),RAND()*('Treatment (Summary)'!$C$38-'Treatment (Summary)'!$D$38)))))),0),2)</f>
        <v>0</v>
      </c>
      <c r="HH5">
        <f ca="1">ROUND(IFERROR(IF('Treatment (Summary)'!$F$39=1,1,IF('Treatment (Summary)'!$D$39="",_xlfn.NORM.INV(RAND(),('Treatment (Summary)'!$E$39-'Treatment (Summary)'!$C$39)/2,STDEV('Treatment (Summary)'!$E$39,'Treatment (Summary)'!$C$39)),_xlfn.NORM.INV(RAND(),('Treatment (Summary)'!$C$39+(4*'Treatment (Summary)'!$D$39)+'Treatment (Summary)'!$E$39)/6,STDEV('Treatment (Summary)'!$E$39,'Treatment (Summary)'!$C$39)))),0),2)</f>
        <v>0</v>
      </c>
      <c r="HI5">
        <f ca="1">ROUND(IFERROR(IF('Treatment (Summary)'!$F$39=1,1,IF('Treatment (Summary)'!$D$39="",_xlfn.NORM.INV(RAND(),('Treatment (Summary)'!$E$39-'Treatment (Summary)'!$C$39)/2,(LN('Treatment (Summary)'!$E$39)-LN('Treatment (Summary)'!$C$39))/3.29),_xlfn.NORM.INV(RAND(),('Treatment (Summary)'!$C$39+(4*'Treatment (Summary)'!$D$39)+'Treatment (Summary)'!$E$39)/6,(LN('Treatment (Summary)'!$E$39)-LN('Treatment (Summary)'!$C$39))/3.29))),0),2)</f>
        <v>0</v>
      </c>
      <c r="HJ5" s="22">
        <f ca="1">ROUND(IFERROR(IF('Treatment (Summary)'!$F$39=1,1,(IF('Treatment (Summary)'!$D$39="",_xlfn.LOGNORM.INV(RAND(),(LN('Treatment (Summary)'!$E$39)+LN('Treatment (Summary)'!$C$39))/2,(LN('Treatment (Summary)'!$E$39)-LN('Treatment (Summary)'!$C$39))/3.29),_xlfn.LOGNORM.INV(RAND(),((LN('Treatment (Summary)'!$C$39)+(4*LN('Treatment (Summary)'!$D$39))+LN('Treatment (Summary)'!$E$39))/6),(LN('Treatment (Summary)'!$E$39)-LN('Treatment (Summary)'!$C$39))/3.29)))),0),2)</f>
        <v>0</v>
      </c>
      <c r="HK5">
        <f ca="1">ROUND(IFERROR(IF('Treatment (Summary)'!$F$39=1,1,(IF('Treatment (Summary)'!$D$39="",RAND()*('Treatment (Summary)'!$E$39-'Treatment (Summary)'!$C$39)+'Treatment (Summary)'!$C$39,('Treatment (Summary)'!$D$39+IF(RAND()&gt;0.5,RAND()*('Treatment (Summary)'!$E$39-'Treatment (Summary)'!$D$39),RAND()*('Treatment (Summary)'!$C$39-'Treatment (Summary)'!$D$39)))))),0),2)</f>
        <v>0</v>
      </c>
      <c r="HL5">
        <f ca="1">ROUND(IFERROR(IF('Treatment (Summary)'!$F$40=1,1,IF('Treatment (Summary)'!$D$40="",_xlfn.NORM.INV(RAND(),('Treatment (Summary)'!$E$40-'Treatment (Summary)'!$C$40)/2,STDEV('Treatment (Summary)'!$E$40,'Treatment (Summary)'!$C$40)),_xlfn.NORM.INV(RAND(),('Treatment (Summary)'!$C$40+(4*'Treatment (Summary)'!$D$40)+'Treatment (Summary)'!$E$40)/6,STDEV('Treatment (Summary)'!$E$40,'Treatment (Summary)'!$C$40)))),0),2)</f>
        <v>0</v>
      </c>
      <c r="HM5">
        <f ca="1">ROUND(IFERROR(IF('Treatment (Summary)'!$F$40=1,1,IF('Treatment (Summary)'!$D$40="",_xlfn.NORM.INV(RAND(),('Treatment (Summary)'!$E$40-'Treatment (Summary)'!$C$40)/2,(LN('Treatment (Summary)'!$E$40)-LN('Treatment (Summary)'!$C$40))/3.29),_xlfn.NORM.INV(RAND(),('Treatment (Summary)'!$C$40+(4*'Treatment (Summary)'!$D$40)+'Treatment (Summary)'!$E$40)/6,(LN('Treatment (Summary)'!$E$40)-LN('Treatment (Summary)'!$C$40))/3.29))),0),2)</f>
        <v>0</v>
      </c>
      <c r="HN5" s="22">
        <f ca="1">ROUND(IFERROR(IF('Treatment (Summary)'!$F$40=1,1,(IF('Treatment (Summary)'!$D$40="",_xlfn.LOGNORM.INV(RAND(),(LN('Treatment (Summary)'!$E$40)+LN('Treatment (Summary)'!$C$40))/2,(LN('Treatment (Summary)'!$E$40)-LN('Treatment (Summary)'!$C$40))/3.29),_xlfn.LOGNORM.INV(RAND(),((LN('Treatment (Summary)'!$C$40)+(4*LN('Treatment (Summary)'!$D$40))+LN('Treatment (Summary)'!$E$40))/6),(LN('Treatment (Summary)'!$E$40)-LN('Treatment (Summary)'!$C$40))/3.29)))),0),2)</f>
        <v>0</v>
      </c>
      <c r="HO5">
        <f ca="1">ROUND(IFERROR(IF('Treatment (Summary)'!$F$40=1,1,(IF('Treatment (Summary)'!$D$40="",RAND()*('Treatment (Summary)'!$E$40-'Treatment (Summary)'!$C$40)+'Treatment (Summary)'!$C$40,('Treatment (Summary)'!$D$40+IF(RAND()&gt;0.5,RAND()*('Treatment (Summary)'!$E$40-'Treatment (Summary)'!$D$40),RAND()*('Treatment (Summary)'!$C$40-'Treatment (Summary)'!$D$40)))))),0),2)</f>
        <v>0</v>
      </c>
      <c r="HP5">
        <f ca="1">ROUND(IFERROR(IF('Treatment (Summary)'!$F$41=1,1,IF('Treatment (Summary)'!$D$41="",_xlfn.NORM.INV(RAND(),('Treatment (Summary)'!$E$41-'Treatment (Summary)'!$C$41)/2,STDEV('Treatment (Summary)'!$E$41,'Treatment (Summary)'!$C$41)),_xlfn.NORM.INV(RAND(),('Treatment (Summary)'!$C$41+(4*'Treatment (Summary)'!$D$41)+'Treatment (Summary)'!$E$41)/6,STDEV('Treatment (Summary)'!$E$41,'Treatment (Summary)'!$C$41)))),0),2)</f>
        <v>0</v>
      </c>
      <c r="HQ5">
        <f ca="1">ROUND(IFERROR(IF('Treatment (Summary)'!$F$41=1,1,IF('Treatment (Summary)'!$D$41="",_xlfn.NORM.INV(RAND(),('Treatment (Summary)'!$E$41-'Treatment (Summary)'!$C$41)/2,(LN('Treatment (Summary)'!$E$41)-LN('Treatment (Summary)'!$C$41))/3.29),_xlfn.NORM.INV(RAND(),('Treatment (Summary)'!$C$41+(4*'Treatment (Summary)'!$D$41)+'Treatment (Summary)'!$E$41)/6,(LN('Treatment (Summary)'!$E$41)-LN('Treatment (Summary)'!$C$41))/3.29))),0),2)</f>
        <v>0</v>
      </c>
      <c r="HR5" s="22">
        <f ca="1">ROUND(IFERROR(IF('Treatment (Summary)'!$F$41=1,1,(IF('Treatment (Summary)'!$D$41="",_xlfn.LOGNORM.INV(RAND(),(LN('Treatment (Summary)'!$E$41)+LN('Treatment (Summary)'!$C$41))/2,(LN('Treatment (Summary)'!$E$41)-LN('Treatment (Summary)'!$C$41))/3.29),_xlfn.LOGNORM.INV(RAND(),((LN('Treatment (Summary)'!$C$41)+(4*LN('Treatment (Summary)'!$D$41))+LN('Treatment (Summary)'!$E$41))/6),(LN('Treatment (Summary)'!$E$41)-LN('Treatment (Summary)'!$C$41))/3.29)))),0),2)</f>
        <v>0</v>
      </c>
      <c r="HS5">
        <f ca="1">ROUND(IFERROR(IF('Treatment (Summary)'!$F$41=1,1,(IF('Treatment (Summary)'!$D$41="",RAND()*('Treatment (Summary)'!$E$41-'Treatment (Summary)'!$C$41)+'Treatment (Summary)'!$C$41,('Treatment (Summary)'!$D$41+IF(RAND()&gt;0.5,RAND()*('Treatment (Summary)'!$E$41-'Treatment (Summary)'!$D$41),RAND()*('Treatment (Summary)'!$C$41-'Treatment (Summary)'!$D$41)))))),0),2)</f>
        <v>0</v>
      </c>
      <c r="HT5">
        <f ca="1">ROUND(IFERROR(IF('Treatment (Summary)'!$F$42=1,1,IF('Treatment (Summary)'!$D$42="",_xlfn.NORM.INV(RAND(),('Treatment (Summary)'!$E$42-'Treatment (Summary)'!$C$42)/2,STDEV('Treatment (Summary)'!$E$42,'Treatment (Summary)'!$C$42)),_xlfn.NORM.INV(RAND(),('Treatment (Summary)'!$C$42+(4*'Treatment (Summary)'!$D$42)+'Treatment (Summary)'!$E$42)/6,STDEV('Treatment (Summary)'!$E$42,'Treatment (Summary)'!$C$42)))),0),2)</f>
        <v>0</v>
      </c>
      <c r="HU5">
        <f ca="1">ROUND(IFERROR(IF('Treatment (Summary)'!$F$42=1,1,IF('Treatment (Summary)'!$D$42="",_xlfn.NORM.INV(RAND(),('Treatment (Summary)'!$E$42-'Treatment (Summary)'!$C$42)/2,(LN('Treatment (Summary)'!$E$42)-LN('Treatment (Summary)'!$C$42))/3.29),_xlfn.NORM.INV(RAND(),('Treatment (Summary)'!$C$42+(4*'Treatment (Summary)'!$D$42)+'Treatment (Summary)'!$E$42)/6,(LN('Treatment (Summary)'!$E$42)-LN('Treatment (Summary)'!$C$42))/3.29))),0),2)</f>
        <v>0</v>
      </c>
      <c r="HV5" s="22">
        <f ca="1">ROUND(IFERROR(IF('Treatment (Summary)'!$F$42=1,1,(IF('Treatment (Summary)'!$D$42="",_xlfn.LOGNORM.INV(RAND(),(LN('Treatment (Summary)'!$E$42)+LN('Treatment (Summary)'!$C$42))/2,(LN('Treatment (Summary)'!$E$42)-LN('Treatment (Summary)'!$C$42))/3.29),_xlfn.LOGNORM.INV(RAND(),((LN('Treatment (Summary)'!$C$42)+(4*LN('Treatment (Summary)'!$D$42))+LN('Treatment (Summary)'!$E$42))/6),(LN('Treatment (Summary)'!$E$42)-LN('Treatment (Summary)'!$C$42))/3.29)))),0),2)</f>
        <v>0</v>
      </c>
      <c r="HW5">
        <f ca="1">ROUND(IFERROR(IF('Treatment (Summary)'!$F$42=1,1,(IF('Treatment (Summary)'!$D$42="",RAND()*('Treatment (Summary)'!$E$42-'Treatment (Summary)'!$C$42)+'Treatment (Summary)'!$C$42,('Treatment (Summary)'!$D$42+IF(RAND()&gt;0.5,RAND()*('Treatment (Summary)'!$E$42-'Treatment (Summary)'!$D$42),RAND()*('Treatment (Summary)'!$C$42-'Treatment (Summary)'!$D$42)))))),0),2)</f>
        <v>0</v>
      </c>
      <c r="HX5">
        <f ca="1">ROUND(IFERROR(IF('Treatment (Summary)'!$F$43=1,1,IF('Treatment (Summary)'!$D$43="",_xlfn.NORM.INV(RAND(),('Treatment (Summary)'!$E$43-'Treatment (Summary)'!$C$43)/2,STDEV('Treatment (Summary)'!$E$43,'Treatment (Summary)'!$C$43)),_xlfn.NORM.INV(RAND(),('Treatment (Summary)'!$C$43+(4*'Treatment (Summary)'!$D$43)+'Treatment (Summary)'!$E$43)/6,STDEV('Treatment (Summary)'!$E$43,'Treatment (Summary)'!$C$43)))),0),2)</f>
        <v>0</v>
      </c>
      <c r="HY5">
        <f ca="1">ROUND(IFERROR(IF('Treatment (Summary)'!$F$43=1,1,IF('Treatment (Summary)'!$D$43="",_xlfn.NORM.INV(RAND(),('Treatment (Summary)'!$E$43-'Treatment (Summary)'!$C$43)/2,(LN('Treatment (Summary)'!$E$43)-LN('Treatment (Summary)'!$C$43))/3.29),_xlfn.NORM.INV(RAND(),('Treatment (Summary)'!$C$43+(4*'Treatment (Summary)'!$D$43)+'Treatment (Summary)'!$E$43)/6,(LN('Treatment (Summary)'!$E$43)-LN('Treatment (Summary)'!$C$43))/3.29))),0),2)</f>
        <v>0</v>
      </c>
      <c r="HZ5" s="22">
        <f ca="1">ROUND(IFERROR(IF('Treatment (Summary)'!$F$43=1,1,(IF('Treatment (Summary)'!$D$43="",_xlfn.LOGNORM.INV(RAND(),(LN('Treatment (Summary)'!$E$43)+LN('Treatment (Summary)'!$C$43))/2,(LN('Treatment (Summary)'!$E$43)-LN('Treatment (Summary)'!$C$43))/3.29),_xlfn.LOGNORM.INV(RAND(),((LN('Treatment (Summary)'!$C$43)+(4*LN('Treatment (Summary)'!$D$43))+LN('Treatment (Summary)'!$E$43))/6),(LN('Treatment (Summary)'!$E$43)-LN('Treatment (Summary)'!$C$43))/3.29)))),0),2)</f>
        <v>0</v>
      </c>
      <c r="IA5">
        <f ca="1">ROUND(IFERROR(IF('Treatment (Summary)'!$F$43=1,1,(IF('Treatment (Summary)'!$D$43="",RAND()*('Treatment (Summary)'!$E$43-'Treatment (Summary)'!$C$43)+'Treatment (Summary)'!$C$43,('Treatment (Summary)'!$D$43+IF(RAND()&gt;0.5,RAND()*('Treatment (Summary)'!$E$43-'Treatment (Summary)'!$D$43),RAND()*('Treatment (Summary)'!$C$43-'Treatment (Summary)'!$D$43)))))),0),2)</f>
        <v>0</v>
      </c>
      <c r="IB5">
        <f ca="1">ROUND($EK5*EZ5,2)</f>
        <v>0</v>
      </c>
      <c r="IC5">
        <f ca="1">ROUND($EL5*FA5,2)</f>
        <v>0</v>
      </c>
      <c r="ID5">
        <f ca="1">ROUND($EM5*FB5,2)</f>
        <v>0</v>
      </c>
      <c r="IE5">
        <f ca="1">ROUND($EN5*FC5,2)</f>
        <v>0</v>
      </c>
      <c r="IF5">
        <f ca="1">ROUND($EK5*FD5,2)</f>
        <v>0</v>
      </c>
      <c r="IG5">
        <f ca="1">ROUND($EL5*FE5,2)</f>
        <v>0</v>
      </c>
      <c r="IH5">
        <f ca="1">ROUND($EM5*FF5,2)</f>
        <v>0</v>
      </c>
      <c r="II5">
        <f ca="1">ROUND($EN5*FG5,2)</f>
        <v>0</v>
      </c>
      <c r="IJ5">
        <f ca="1">ROUND($EK5*FH5,2)</f>
        <v>0</v>
      </c>
      <c r="IK5">
        <f ca="1">ROUND($EL5*FI5,2)</f>
        <v>0</v>
      </c>
      <c r="IL5">
        <f ca="1">ROUND($EM5*FJ5,2)</f>
        <v>0</v>
      </c>
      <c r="IM5">
        <f ca="1">ROUND($EN5*FK5,2)</f>
        <v>0</v>
      </c>
      <c r="IN5">
        <f ca="1">ROUND($EK5*FL5,2)</f>
        <v>0</v>
      </c>
      <c r="IO5">
        <f ca="1">ROUND($EL5*FM5,2)</f>
        <v>0</v>
      </c>
      <c r="IP5">
        <f ca="1">ROUND($EM5*FN5,2)</f>
        <v>0</v>
      </c>
      <c r="IQ5">
        <f ca="1">ROUND($EN5*FO5,2)</f>
        <v>0</v>
      </c>
      <c r="IR5">
        <f ca="1">ROUND($EK5*FP5,2)</f>
        <v>0</v>
      </c>
      <c r="IS5">
        <f ca="1">ROUND($EL5*FQ5,2)</f>
        <v>0</v>
      </c>
      <c r="IT5">
        <f ca="1">ROUND($EM5*FR5,2)</f>
        <v>0</v>
      </c>
      <c r="IU5">
        <f ca="1">ROUND($EN5*FS5,2)</f>
        <v>0</v>
      </c>
      <c r="IV5">
        <f ca="1">ROUND($EK5*FT5,2)</f>
        <v>0</v>
      </c>
      <c r="IW5">
        <f ca="1">ROUND($EL5*FU5,2)</f>
        <v>0</v>
      </c>
      <c r="IX5">
        <f ca="1">ROUND($EM5*FV5,2)</f>
        <v>0</v>
      </c>
      <c r="IY5">
        <f ca="1">ROUND($EN5*FW5,2)</f>
        <v>0</v>
      </c>
      <c r="IZ5">
        <f ca="1">ROUND($EK5*FX5,2)</f>
        <v>0</v>
      </c>
      <c r="JA5">
        <f ca="1">ROUND($EL5*FY5,2)</f>
        <v>0</v>
      </c>
      <c r="JB5">
        <f ca="1">ROUND($EM5*FZ5,2)</f>
        <v>0</v>
      </c>
      <c r="JC5">
        <f ca="1">ROUND($EN5*GA5,2)</f>
        <v>0</v>
      </c>
      <c r="JD5">
        <f ca="1">ROUND($EK5*GB5,2)</f>
        <v>0</v>
      </c>
      <c r="JE5">
        <f ca="1">ROUND($EL5*GC5,2)</f>
        <v>0</v>
      </c>
      <c r="JF5">
        <f ca="1">ROUND($EM5*GD5,2)</f>
        <v>0</v>
      </c>
      <c r="JG5">
        <f ca="1">ROUND($EN5*GE5,2)</f>
        <v>0</v>
      </c>
      <c r="JH5">
        <f ca="1">ROUND($EK5*GF5,2)</f>
        <v>0</v>
      </c>
      <c r="JI5">
        <f ca="1">ROUND($EL5*GG5,2)</f>
        <v>0</v>
      </c>
      <c r="JJ5">
        <f ca="1">ROUND($EM5*GH5,2)</f>
        <v>0</v>
      </c>
      <c r="JK5">
        <f ca="1">ROUND($EN5*GI5,2)</f>
        <v>0</v>
      </c>
      <c r="JL5">
        <f ca="1">ROUND($EK5*GJ5,2)</f>
        <v>0</v>
      </c>
      <c r="JM5">
        <f ca="1">ROUND($EL5*GK5,2)</f>
        <v>0</v>
      </c>
      <c r="JN5">
        <f ca="1">ROUND($EM5*GL5,2)</f>
        <v>0</v>
      </c>
      <c r="JO5">
        <f ca="1">ROUND($EN5*GM5,2)</f>
        <v>0</v>
      </c>
      <c r="JP5">
        <f ca="1">ROUND((EK5*EZ5)-GN5,2)</f>
        <v>0</v>
      </c>
      <c r="JQ5">
        <f ca="1">ROUND((EL5*FA5)-GO5,2)</f>
        <v>0</v>
      </c>
      <c r="JR5">
        <f ca="1">ROUND((EM5*FB5)-GP5,2)</f>
        <v>0</v>
      </c>
      <c r="JS5">
        <f ca="1">ROUND(($EN5*FC5)-GQ5,2)</f>
        <v>0</v>
      </c>
      <c r="JT5">
        <f ca="1">ROUND(($EK5*FD5)-GR5,2)</f>
        <v>0</v>
      </c>
      <c r="JU5">
        <f ca="1">ROUND(($EL5*FE5)-GS5,2)</f>
        <v>0</v>
      </c>
      <c r="JV5">
        <f ca="1">ROUND(($EM5*FF5)-GT5,2)</f>
        <v>0</v>
      </c>
      <c r="JW5">
        <f ca="1">ROUND(($EN5*FG5)-GU5,2)</f>
        <v>0</v>
      </c>
      <c r="JX5">
        <f ca="1">ROUND(($EK5*FH5)-GV5,2)</f>
        <v>0</v>
      </c>
      <c r="JY5">
        <f ca="1">ROUND(($EL5*FI5)-GW5,2)</f>
        <v>0</v>
      </c>
      <c r="JZ5">
        <f ca="1">ROUND(($EM5*FJ5)-GX5,2)</f>
        <v>0</v>
      </c>
      <c r="KA5">
        <f ca="1">ROUND(($EN5*FK5)-GY5,2)</f>
        <v>0</v>
      </c>
      <c r="KB5">
        <f ca="1">ROUND(($EK5*FL5)-GZ5,2)</f>
        <v>0</v>
      </c>
      <c r="KC5">
        <f ca="1">ROUND(($EL5*FM5)-HA5,2)</f>
        <v>0</v>
      </c>
      <c r="KD5">
        <f ca="1">ROUND(($EM5*FN5)-HB5,2)</f>
        <v>0</v>
      </c>
      <c r="KE5">
        <f ca="1">ROUND(($EN5*FO5)-HC5,2)</f>
        <v>0</v>
      </c>
      <c r="KF5">
        <f ca="1">ROUND(($EK5*FP5)-HD5,2)</f>
        <v>0</v>
      </c>
      <c r="KG5">
        <f ca="1">ROUND(($EL5*FQ5)-HE5,2)</f>
        <v>0</v>
      </c>
      <c r="KH5">
        <f ca="1">ROUND(($EM5*FR5)-HF5,2)</f>
        <v>0</v>
      </c>
      <c r="KI5">
        <f ca="1">ROUND(($EN5*FS5)-HG5,2)</f>
        <v>0</v>
      </c>
      <c r="KJ5">
        <f ca="1">ROUND(($EK5*FT5)-HH5,2)</f>
        <v>0</v>
      </c>
      <c r="KK5">
        <f ca="1">ROUND(($EL5*FU5)-HI5,2)</f>
        <v>0</v>
      </c>
      <c r="KL5">
        <f ca="1">ROUND(($EM5*FV5)-HJ5,2)</f>
        <v>0</v>
      </c>
      <c r="KM5">
        <f ca="1">ROUND(($EN5*FW5)-HK5,2)</f>
        <v>0</v>
      </c>
      <c r="KN5">
        <f ca="1">ROUND(($EK5*FX5)-HL5,2)</f>
        <v>0</v>
      </c>
      <c r="KO5">
        <f ca="1">ROUND(($EL5*FY5)-HM5,2)</f>
        <v>0</v>
      </c>
      <c r="KP5">
        <f ca="1">ROUND(($EM5*FZ5)-HN5,2)</f>
        <v>0</v>
      </c>
      <c r="KQ5">
        <f ca="1">ROUND(($EN5*GA5)-HO5,2)</f>
        <v>0</v>
      </c>
      <c r="KR5">
        <f ca="1">ROUND(($EK5*GB5)-HP5,2)</f>
        <v>0</v>
      </c>
      <c r="KS5">
        <f ca="1">ROUND(($EL5*GC5)-HQ5,2)</f>
        <v>0</v>
      </c>
      <c r="KT5">
        <f ca="1">ROUND(($EM5*GD5)-HR5,2)</f>
        <v>0</v>
      </c>
      <c r="KU5">
        <f ca="1">ROUND(($EN5*GE5)-HS5,2)</f>
        <v>0</v>
      </c>
      <c r="KV5">
        <f ca="1">ROUND(($EK5*GF5)-HT5,2)</f>
        <v>0</v>
      </c>
      <c r="KW5">
        <f ca="1">ROUND(($EL5*GG5)-HU5,2)</f>
        <v>0</v>
      </c>
      <c r="KX5">
        <f ca="1">ROUND(($EM5*GH5)-HV5,2)</f>
        <v>0</v>
      </c>
      <c r="KY5">
        <f ca="1">ROUND(($EN5*GI5)-HW5,2)</f>
        <v>0</v>
      </c>
      <c r="KZ5">
        <f ca="1">ROUND(($EK5*GJ5)-HX5,2)</f>
        <v>0</v>
      </c>
      <c r="LA5">
        <f ca="1">ROUND(($EL5*GK5)-HY5,2)</f>
        <v>0</v>
      </c>
      <c r="LB5">
        <f ca="1">ROUND(($EM5*GL5)-HZ5,2)</f>
        <v>0</v>
      </c>
      <c r="LC5">
        <f ca="1">ROUND(($EN5*GM5)-IA5,2)</f>
        <v>0</v>
      </c>
      <c r="LD5">
        <f ca="1">ROUND(GN5+GR5+GV5+GZ5+HD5+HH5+HL5+HP5+HT5+HX5,2)</f>
        <v>0</v>
      </c>
      <c r="LE5">
        <f ca="1">ROUND(GO5+GS5+GW5+HA5+HE5+HI5+HM5+HQ5+HU5+HY5,2)</f>
        <v>0</v>
      </c>
      <c r="LF5">
        <f ca="1">ROUND(GP5+GT5+GX5+HB5+HF5+HJ5+HN5+HR5+HV5+HZ5,2)</f>
        <v>0</v>
      </c>
      <c r="LG5">
        <f ca="1">ROUND(GQ5+GU5+GY5+HC5+HG5+HK5+HO5+HS5+HW5+IA5,2)</f>
        <v>0</v>
      </c>
      <c r="LH5">
        <f ca="1">ROUND(IB5+IF5+IJ5+IN5+IR5+IV5+IZ5+JD5+JH5+JL5,2)</f>
        <v>0</v>
      </c>
      <c r="LI5">
        <f ca="1">ROUND(IC5+IG5+IK5+IO5+IS5+IW5+JA5+JE5+JI5+JM5,2)</f>
        <v>0</v>
      </c>
      <c r="LJ5">
        <f ca="1">ROUND(ID5+IH5+IL5+IP5+IT5+IX5+JB5+JF5+JJ5+JN5,2)</f>
        <v>0</v>
      </c>
      <c r="LK5">
        <f ca="1">ROUND(IE5+II5+IM5+IQ5+IU5+IY5+JC5+JG5+JK5+JO5,2)</f>
        <v>0</v>
      </c>
      <c r="LL5">
        <f ca="1">ROUND(JP5+JT5+JX5+KB5+KF5+KJ5+KN5+KR5+KV5+KZ5,2)</f>
        <v>0</v>
      </c>
      <c r="LM5">
        <f ca="1">ROUND(JQ5+JU5+JY5+KC5+KG5+KK5+KO5+KS5+KW5+LA5,2)</f>
        <v>0</v>
      </c>
      <c r="LN5">
        <f ca="1">ROUND(JR5+JV5+JZ5+KD5+KH5+KL5+KP5+KT5+KX5+LB5,2)</f>
        <v>0</v>
      </c>
      <c r="LO5">
        <f ca="1">ROUND(JS5+JW5+KA5+KE5+KI5+KM5+KQ5+KU5+KY5+LC5,2)</f>
        <v>0</v>
      </c>
      <c r="LP5">
        <f ca="1">ROUND(IF(LH5&gt;EK5,0,EK5-LH5),2)</f>
        <v>0</v>
      </c>
      <c r="LQ5">
        <f ca="1">ROUND(IF(LI5&gt;EL5,0,EL5-LI5),2)</f>
        <v>0</v>
      </c>
      <c r="LR5">
        <f ca="1">ROUND(IF(LJ5&gt;EM5,0,EM5-LJ5),2)</f>
        <v>0</v>
      </c>
      <c r="LS5">
        <f ca="1">ROUND(IF(LK5&gt;EN5,0,EN5-LK5),2)</f>
        <v>0</v>
      </c>
      <c r="LT5">
        <f ca="1">ROUND(LR5,2)</f>
        <v>0</v>
      </c>
      <c r="LU5">
        <f ca="1">ROUND(MAX(LT:LT),2)</f>
        <v>0</v>
      </c>
      <c r="LV5">
        <f ca="1">ROUND(MIN(LT:LT),2)</f>
        <v>0</v>
      </c>
      <c r="LW5">
        <f ca="1">ROUND(ROUNDUP(SQRT(COUNT(LT:LT)),0),2)</f>
        <v>1</v>
      </c>
      <c r="LX5">
        <f ca="1">2*(QUARTILE(LT$5:LT$1048576,3)-QUARTILE(LT$5:LT$1048576,1))*(1/(COUNT(LT$5:LT$1048576)^(1/3)))</f>
        <v>0</v>
      </c>
      <c r="LY5">
        <f ca="1">ROUND(LV5,-3)</f>
        <v>0</v>
      </c>
      <c r="LZ5">
        <f ca="1">COUNTIF(Sim_Static!$LT$5:$LT$10321,"&gt;"&amp;LY5)/COUNT(Sim_Static!$LT$5:$LT$10321)</f>
        <v>0</v>
      </c>
      <c r="MB5">
        <f ca="1">FREQUENCY($LT$5:$LT10321,LY5)</f>
        <v>1</v>
      </c>
      <c r="MC5">
        <f ca="1">MB5</f>
        <v>1</v>
      </c>
      <c r="MD5" s="208">
        <f ca="1">MB5/COUNT($LT$5:$LT$10321)</f>
        <v>1</v>
      </c>
    </row>
    <row r="6" spans="1:342" x14ac:dyDescent="0.25">
      <c r="E6"/>
      <c r="F6"/>
      <c r="G6" s="22"/>
      <c r="H6"/>
      <c r="BG6" s="22"/>
      <c r="ET6">
        <f ca="1">ET5+$ES$5</f>
        <v>0</v>
      </c>
      <c r="EX6">
        <f ca="1">EW6-EW5</f>
        <v>-1</v>
      </c>
      <c r="EY6" s="208"/>
      <c r="LY6">
        <f ca="1">LY5+$ES$5</f>
        <v>0</v>
      </c>
      <c r="MC6">
        <f ca="1">MB6-MB5</f>
        <v>-1</v>
      </c>
      <c r="MD6" s="208"/>
    </row>
    <row r="7" spans="1:342" x14ac:dyDescent="0.25">
      <c r="E7"/>
      <c r="F7"/>
      <c r="G7" s="22"/>
      <c r="H7"/>
      <c r="BG7" s="22"/>
    </row>
    <row r="8" spans="1:342" x14ac:dyDescent="0.25">
      <c r="E8"/>
      <c r="F8"/>
      <c r="G8" s="22"/>
      <c r="H8"/>
      <c r="BG8" s="22"/>
    </row>
    <row r="9" spans="1:342" x14ac:dyDescent="0.25">
      <c r="E9"/>
      <c r="F9"/>
      <c r="G9" s="22"/>
      <c r="H9"/>
      <c r="BG9" s="22"/>
    </row>
    <row r="10" spans="1:342" x14ac:dyDescent="0.25">
      <c r="E10"/>
      <c r="F10"/>
      <c r="G10" s="22"/>
      <c r="H10"/>
      <c r="BG10" s="22"/>
    </row>
    <row r="11" spans="1:342" x14ac:dyDescent="0.25">
      <c r="F11"/>
      <c r="G11" s="22"/>
      <c r="H11"/>
      <c r="BG11" s="22"/>
      <c r="FB11" s="5"/>
    </row>
    <row r="12" spans="1:342" x14ac:dyDescent="0.25">
      <c r="F12" s="159"/>
      <c r="G12" s="22"/>
      <c r="H12"/>
      <c r="BG12" s="22"/>
      <c r="FA12" s="5"/>
    </row>
    <row r="13" spans="1:342" x14ac:dyDescent="0.25">
      <c r="E13"/>
      <c r="F13"/>
      <c r="G13" s="22"/>
      <c r="H13"/>
      <c r="BG13" s="22"/>
    </row>
    <row r="14" spans="1:342" x14ac:dyDescent="0.25">
      <c r="E14"/>
      <c r="F14"/>
      <c r="G14" s="22"/>
      <c r="H14"/>
      <c r="BG14" s="22"/>
    </row>
    <row r="15" spans="1:342" x14ac:dyDescent="0.25">
      <c r="E15"/>
      <c r="F15"/>
      <c r="G15" s="22"/>
      <c r="H15"/>
      <c r="BG15" s="22"/>
    </row>
    <row r="16" spans="1:342" x14ac:dyDescent="0.25">
      <c r="E16"/>
      <c r="F16"/>
      <c r="G16"/>
      <c r="H16"/>
      <c r="BG16" s="22"/>
    </row>
    <row r="17" spans="5:8" x14ac:dyDescent="0.25">
      <c r="E17"/>
      <c r="F17"/>
      <c r="G17" s="5"/>
      <c r="H17"/>
    </row>
    <row r="18" spans="5:8" customFormat="1" x14ac:dyDescent="0.25"/>
    <row r="19" spans="5:8" customFormat="1" x14ac:dyDescent="0.25"/>
    <row r="20" spans="5:8" customFormat="1" x14ac:dyDescent="0.25"/>
    <row r="21" spans="5:8" customFormat="1" x14ac:dyDescent="0.25"/>
    <row r="22" spans="5:8" customFormat="1" x14ac:dyDescent="0.25"/>
    <row r="23" spans="5:8" customFormat="1" x14ac:dyDescent="0.25"/>
    <row r="24" spans="5:8" customFormat="1" x14ac:dyDescent="0.25"/>
    <row r="25" spans="5:8" customFormat="1" x14ac:dyDescent="0.25"/>
    <row r="26" spans="5:8" customFormat="1" x14ac:dyDescent="0.25"/>
    <row r="27" spans="5:8" customFormat="1" x14ac:dyDescent="0.25"/>
    <row r="28" spans="5:8" customFormat="1" x14ac:dyDescent="0.25"/>
    <row r="29" spans="5:8" customFormat="1" x14ac:dyDescent="0.25"/>
    <row r="30" spans="5:8" customFormat="1" x14ac:dyDescent="0.25"/>
    <row r="31" spans="5:8" customFormat="1" x14ac:dyDescent="0.25"/>
    <row r="32" spans="5:8"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51932-B3DD-44AF-894F-B192572B176D}">
  <sheetPr codeName="Sheet1"/>
  <dimension ref="A1:E105"/>
  <sheetViews>
    <sheetView workbookViewId="0">
      <selection sqref="A1:G1048576"/>
    </sheetView>
  </sheetViews>
  <sheetFormatPr defaultColWidth="8.85546875" defaultRowHeight="15" x14ac:dyDescent="0.25"/>
  <sheetData>
    <row r="1" spans="1:5" x14ac:dyDescent="0.25">
      <c r="A1" s="203"/>
      <c r="D1" s="221"/>
      <c r="E1" s="203"/>
    </row>
    <row r="2" spans="1:5" x14ac:dyDescent="0.25">
      <c r="A2" s="118"/>
      <c r="D2" s="11"/>
      <c r="E2" s="118"/>
    </row>
    <row r="3" spans="1:5" x14ac:dyDescent="0.25">
      <c r="A3" s="118"/>
      <c r="D3" s="11"/>
      <c r="E3" s="118"/>
    </row>
    <row r="4" spans="1:5" x14ac:dyDescent="0.25">
      <c r="A4" s="118"/>
      <c r="D4" s="11"/>
      <c r="E4" s="118"/>
    </row>
    <row r="5" spans="1:5" x14ac:dyDescent="0.25">
      <c r="A5" s="118"/>
      <c r="D5" s="11"/>
      <c r="E5" s="118"/>
    </row>
    <row r="6" spans="1:5" x14ac:dyDescent="0.25">
      <c r="A6" s="118"/>
      <c r="D6" s="11"/>
      <c r="E6" s="118"/>
    </row>
    <row r="7" spans="1:5" x14ac:dyDescent="0.25">
      <c r="A7" s="118"/>
      <c r="D7" s="11"/>
      <c r="E7" s="118"/>
    </row>
    <row r="8" spans="1:5" x14ac:dyDescent="0.25">
      <c r="A8" s="118"/>
      <c r="D8" s="11"/>
      <c r="E8" s="118"/>
    </row>
    <row r="9" spans="1:5" x14ac:dyDescent="0.25">
      <c r="A9" s="118"/>
      <c r="D9" s="11"/>
      <c r="E9" s="118"/>
    </row>
    <row r="10" spans="1:5" x14ac:dyDescent="0.25">
      <c r="A10" s="118"/>
      <c r="D10" s="11"/>
      <c r="E10" s="118"/>
    </row>
    <row r="11" spans="1:5" x14ac:dyDescent="0.25">
      <c r="A11" s="118"/>
      <c r="D11" s="11"/>
      <c r="E11" s="118"/>
    </row>
    <row r="12" spans="1:5" x14ac:dyDescent="0.25">
      <c r="A12" s="118"/>
      <c r="D12" s="11"/>
      <c r="E12" s="118"/>
    </row>
    <row r="13" spans="1:5" x14ac:dyDescent="0.25">
      <c r="A13" s="118"/>
      <c r="D13" s="11"/>
      <c r="E13" s="118"/>
    </row>
    <row r="14" spans="1:5" x14ac:dyDescent="0.25">
      <c r="A14" s="118"/>
      <c r="D14" s="11"/>
      <c r="E14" s="118"/>
    </row>
    <row r="15" spans="1:5" x14ac:dyDescent="0.25">
      <c r="A15" s="118"/>
      <c r="D15" s="11"/>
      <c r="E15" s="118"/>
    </row>
    <row r="16" spans="1:5" x14ac:dyDescent="0.25">
      <c r="A16" s="118"/>
      <c r="D16" s="11"/>
      <c r="E16" s="118"/>
    </row>
    <row r="17" spans="1:5" x14ac:dyDescent="0.25">
      <c r="A17" s="118"/>
      <c r="D17" s="11"/>
      <c r="E17" s="118"/>
    </row>
    <row r="18" spans="1:5" x14ac:dyDescent="0.25">
      <c r="A18" s="118"/>
      <c r="D18" s="11"/>
      <c r="E18" s="118"/>
    </row>
    <row r="19" spans="1:5" x14ac:dyDescent="0.25">
      <c r="A19" s="118"/>
      <c r="D19" s="11"/>
      <c r="E19" s="118"/>
    </row>
    <row r="20" spans="1:5" x14ac:dyDescent="0.25">
      <c r="A20" s="118"/>
      <c r="D20" s="11"/>
      <c r="E20" s="118"/>
    </row>
    <row r="21" spans="1:5" x14ac:dyDescent="0.25">
      <c r="A21" s="118"/>
      <c r="D21" s="11"/>
      <c r="E21" s="118"/>
    </row>
    <row r="22" spans="1:5" x14ac:dyDescent="0.25">
      <c r="A22" s="118"/>
      <c r="D22" s="11"/>
      <c r="E22" s="118"/>
    </row>
    <row r="23" spans="1:5" x14ac:dyDescent="0.25">
      <c r="A23" s="118"/>
      <c r="D23" s="11"/>
      <c r="E23" s="118"/>
    </row>
    <row r="24" spans="1:5" x14ac:dyDescent="0.25">
      <c r="A24" s="118"/>
      <c r="D24" s="11"/>
      <c r="E24" s="118"/>
    </row>
    <row r="25" spans="1:5" x14ac:dyDescent="0.25">
      <c r="A25" s="118"/>
      <c r="D25" s="11"/>
      <c r="E25" s="118"/>
    </row>
    <row r="26" spans="1:5" x14ac:dyDescent="0.25">
      <c r="A26" s="118"/>
      <c r="D26" s="11"/>
      <c r="E26" s="118"/>
    </row>
    <row r="27" spans="1:5" x14ac:dyDescent="0.25">
      <c r="A27" s="118"/>
      <c r="D27" s="11"/>
      <c r="E27" s="118"/>
    </row>
    <row r="28" spans="1:5" x14ac:dyDescent="0.25">
      <c r="A28" s="118"/>
      <c r="D28" s="11"/>
      <c r="E28" s="118"/>
    </row>
    <row r="29" spans="1:5" x14ac:dyDescent="0.25">
      <c r="A29" s="118"/>
      <c r="D29" s="11"/>
      <c r="E29" s="118"/>
    </row>
    <row r="30" spans="1:5" x14ac:dyDescent="0.25">
      <c r="A30" s="118"/>
      <c r="D30" s="11"/>
      <c r="E30" s="118"/>
    </row>
    <row r="31" spans="1:5" x14ac:dyDescent="0.25">
      <c r="A31" s="118"/>
      <c r="D31" s="11"/>
      <c r="E31" s="118"/>
    </row>
    <row r="32" spans="1:5" x14ac:dyDescent="0.25">
      <c r="A32" s="118"/>
      <c r="D32" s="11"/>
      <c r="E32" s="118"/>
    </row>
    <row r="33" spans="1:5" x14ac:dyDescent="0.25">
      <c r="A33" s="118"/>
      <c r="D33" s="11"/>
      <c r="E33" s="118"/>
    </row>
    <row r="34" spans="1:5" x14ac:dyDescent="0.25">
      <c r="A34" s="118"/>
      <c r="D34" s="11"/>
      <c r="E34" s="118"/>
    </row>
    <row r="35" spans="1:5" x14ac:dyDescent="0.25">
      <c r="A35" s="118"/>
      <c r="D35" s="11"/>
      <c r="E35" s="118"/>
    </row>
    <row r="36" spans="1:5" x14ac:dyDescent="0.25">
      <c r="A36" s="118"/>
      <c r="D36" s="11"/>
      <c r="E36" s="118"/>
    </row>
    <row r="37" spans="1:5" x14ac:dyDescent="0.25">
      <c r="A37" s="118"/>
      <c r="D37" s="11"/>
      <c r="E37" s="118"/>
    </row>
    <row r="38" spans="1:5" x14ac:dyDescent="0.25">
      <c r="A38" s="118"/>
      <c r="D38" s="11"/>
      <c r="E38" s="118"/>
    </row>
    <row r="39" spans="1:5" x14ac:dyDescent="0.25">
      <c r="A39" s="118"/>
      <c r="D39" s="11"/>
      <c r="E39" s="118"/>
    </row>
    <row r="40" spans="1:5" x14ac:dyDescent="0.25">
      <c r="A40" s="118"/>
      <c r="D40" s="11"/>
      <c r="E40" s="118"/>
    </row>
    <row r="41" spans="1:5" x14ac:dyDescent="0.25">
      <c r="A41" s="118"/>
      <c r="D41" s="11"/>
      <c r="E41" s="118"/>
    </row>
    <row r="42" spans="1:5" x14ac:dyDescent="0.25">
      <c r="A42" s="118"/>
      <c r="D42" s="11"/>
      <c r="E42" s="118"/>
    </row>
    <row r="43" spans="1:5" x14ac:dyDescent="0.25">
      <c r="A43" s="118"/>
      <c r="D43" s="11"/>
      <c r="E43" s="118"/>
    </row>
    <row r="44" spans="1:5" x14ac:dyDescent="0.25">
      <c r="A44" s="118"/>
      <c r="D44" s="11"/>
      <c r="E44" s="118"/>
    </row>
    <row r="45" spans="1:5" x14ac:dyDescent="0.25">
      <c r="A45" s="118"/>
      <c r="D45" s="11"/>
      <c r="E45" s="118"/>
    </row>
    <row r="46" spans="1:5" x14ac:dyDescent="0.25">
      <c r="A46" s="118"/>
      <c r="D46" s="11"/>
      <c r="E46" s="118"/>
    </row>
    <row r="47" spans="1:5" x14ac:dyDescent="0.25">
      <c r="A47" s="118"/>
      <c r="D47" s="11"/>
      <c r="E47" s="118"/>
    </row>
    <row r="48" spans="1:5" x14ac:dyDescent="0.25">
      <c r="A48" s="118"/>
      <c r="D48" s="11"/>
      <c r="E48" s="118"/>
    </row>
    <row r="49" spans="1:5" x14ac:dyDescent="0.25">
      <c r="A49" s="118"/>
      <c r="D49" s="11"/>
      <c r="E49" s="118"/>
    </row>
    <row r="50" spans="1:5" x14ac:dyDescent="0.25">
      <c r="A50" s="118"/>
      <c r="D50" s="11"/>
      <c r="E50" s="118"/>
    </row>
    <row r="51" spans="1:5" x14ac:dyDescent="0.25">
      <c r="A51" s="118"/>
      <c r="D51" s="11"/>
      <c r="E51" s="118"/>
    </row>
    <row r="52" spans="1:5" x14ac:dyDescent="0.25">
      <c r="A52" s="118"/>
      <c r="D52" s="11"/>
      <c r="E52" s="118"/>
    </row>
    <row r="53" spans="1:5" x14ac:dyDescent="0.25">
      <c r="A53" s="118"/>
      <c r="D53" s="11"/>
      <c r="E53" s="118"/>
    </row>
    <row r="54" spans="1:5" x14ac:dyDescent="0.25">
      <c r="A54" s="118"/>
      <c r="D54" s="11"/>
      <c r="E54" s="118"/>
    </row>
    <row r="55" spans="1:5" x14ac:dyDescent="0.25">
      <c r="A55" s="118"/>
      <c r="D55" s="11"/>
      <c r="E55" s="118"/>
    </row>
    <row r="56" spans="1:5" x14ac:dyDescent="0.25">
      <c r="A56" s="118"/>
      <c r="D56" s="11"/>
      <c r="E56" s="118"/>
    </row>
    <row r="57" spans="1:5" x14ac:dyDescent="0.25">
      <c r="A57" s="118"/>
      <c r="D57" s="11"/>
      <c r="E57" s="118"/>
    </row>
    <row r="58" spans="1:5" x14ac:dyDescent="0.25">
      <c r="A58" s="118"/>
      <c r="D58" s="11"/>
      <c r="E58" s="118"/>
    </row>
    <row r="59" spans="1:5" x14ac:dyDescent="0.25">
      <c r="A59" s="118"/>
      <c r="D59" s="11"/>
      <c r="E59" s="118"/>
    </row>
    <row r="60" spans="1:5" x14ac:dyDescent="0.25">
      <c r="A60" s="118"/>
      <c r="D60" s="11"/>
      <c r="E60" s="118"/>
    </row>
    <row r="61" spans="1:5" x14ac:dyDescent="0.25">
      <c r="A61" s="118"/>
      <c r="D61" s="11"/>
      <c r="E61" s="118"/>
    </row>
    <row r="62" spans="1:5" x14ac:dyDescent="0.25">
      <c r="A62" s="118"/>
      <c r="D62" s="11"/>
      <c r="E62" s="118"/>
    </row>
    <row r="63" spans="1:5" x14ac:dyDescent="0.25">
      <c r="A63" s="118"/>
      <c r="D63" s="11"/>
      <c r="E63" s="118"/>
    </row>
    <row r="64" spans="1:5" x14ac:dyDescent="0.25">
      <c r="A64" s="118"/>
      <c r="D64" s="11"/>
      <c r="E64" s="118"/>
    </row>
    <row r="65" spans="1:5" x14ac:dyDescent="0.25">
      <c r="A65" s="118"/>
      <c r="D65" s="11"/>
      <c r="E65" s="118"/>
    </row>
    <row r="66" spans="1:5" x14ac:dyDescent="0.25">
      <c r="A66" s="118"/>
      <c r="D66" s="11"/>
      <c r="E66" s="118"/>
    </row>
    <row r="67" spans="1:5" x14ac:dyDescent="0.25">
      <c r="A67" s="118"/>
      <c r="D67" s="11"/>
      <c r="E67" s="118"/>
    </row>
    <row r="68" spans="1:5" x14ac:dyDescent="0.25">
      <c r="A68" s="118"/>
      <c r="D68" s="11"/>
      <c r="E68" s="118"/>
    </row>
    <row r="69" spans="1:5" x14ac:dyDescent="0.25">
      <c r="A69" s="118"/>
      <c r="D69" s="11"/>
      <c r="E69" s="118"/>
    </row>
    <row r="70" spans="1:5" x14ac:dyDescent="0.25">
      <c r="A70" s="118"/>
      <c r="D70" s="11"/>
      <c r="E70" s="118"/>
    </row>
    <row r="71" spans="1:5" x14ac:dyDescent="0.25">
      <c r="A71" s="118"/>
      <c r="D71" s="11"/>
      <c r="E71" s="118"/>
    </row>
    <row r="72" spans="1:5" x14ac:dyDescent="0.25">
      <c r="A72" s="118"/>
      <c r="D72" s="11"/>
      <c r="E72" s="118"/>
    </row>
    <row r="73" spans="1:5" x14ac:dyDescent="0.25">
      <c r="A73" s="118"/>
      <c r="D73" s="11"/>
      <c r="E73" s="118"/>
    </row>
    <row r="74" spans="1:5" x14ac:dyDescent="0.25">
      <c r="A74" s="118"/>
      <c r="D74" s="11"/>
      <c r="E74" s="118"/>
    </row>
    <row r="75" spans="1:5" x14ac:dyDescent="0.25">
      <c r="A75" s="118"/>
      <c r="D75" s="11"/>
      <c r="E75" s="118"/>
    </row>
    <row r="76" spans="1:5" x14ac:dyDescent="0.25">
      <c r="A76" s="118"/>
      <c r="D76" s="11"/>
      <c r="E76" s="118"/>
    </row>
    <row r="77" spans="1:5" x14ac:dyDescent="0.25">
      <c r="A77" s="118"/>
      <c r="D77" s="11"/>
      <c r="E77" s="118"/>
    </row>
    <row r="78" spans="1:5" x14ac:dyDescent="0.25">
      <c r="A78" s="118"/>
      <c r="D78" s="11"/>
      <c r="E78" s="118"/>
    </row>
    <row r="79" spans="1:5" x14ac:dyDescent="0.25">
      <c r="A79" s="118"/>
      <c r="D79" s="11"/>
      <c r="E79" s="118"/>
    </row>
    <row r="80" spans="1:5" x14ac:dyDescent="0.25">
      <c r="A80" s="118"/>
      <c r="D80" s="11"/>
      <c r="E80" s="118"/>
    </row>
    <row r="81" spans="1:5" x14ac:dyDescent="0.25">
      <c r="A81" s="118"/>
      <c r="D81" s="11"/>
      <c r="E81" s="118"/>
    </row>
    <row r="82" spans="1:5" x14ac:dyDescent="0.25">
      <c r="A82" s="118"/>
      <c r="D82" s="11"/>
      <c r="E82" s="118"/>
    </row>
    <row r="83" spans="1:5" x14ac:dyDescent="0.25">
      <c r="A83" s="118"/>
      <c r="D83" s="11"/>
      <c r="E83" s="118"/>
    </row>
    <row r="84" spans="1:5" x14ac:dyDescent="0.25">
      <c r="A84" s="118"/>
      <c r="D84" s="11"/>
      <c r="E84" s="118"/>
    </row>
    <row r="85" spans="1:5" x14ac:dyDescent="0.25">
      <c r="A85" s="118"/>
      <c r="D85" s="11"/>
      <c r="E85" s="118"/>
    </row>
    <row r="86" spans="1:5" x14ac:dyDescent="0.25">
      <c r="A86" s="118"/>
      <c r="D86" s="11"/>
      <c r="E86" s="118"/>
    </row>
    <row r="87" spans="1:5" x14ac:dyDescent="0.25">
      <c r="A87" s="118"/>
      <c r="D87" s="11"/>
      <c r="E87" s="118"/>
    </row>
    <row r="88" spans="1:5" x14ac:dyDescent="0.25">
      <c r="A88" s="118"/>
      <c r="D88" s="11"/>
      <c r="E88" s="118"/>
    </row>
    <row r="89" spans="1:5" x14ac:dyDescent="0.25">
      <c r="A89" s="118"/>
      <c r="D89" s="11"/>
      <c r="E89" s="118"/>
    </row>
    <row r="90" spans="1:5" x14ac:dyDescent="0.25">
      <c r="A90" s="118"/>
      <c r="D90" s="11"/>
      <c r="E90" s="118"/>
    </row>
    <row r="91" spans="1:5" x14ac:dyDescent="0.25">
      <c r="A91" s="118"/>
      <c r="D91" s="11"/>
      <c r="E91" s="118"/>
    </row>
    <row r="92" spans="1:5" x14ac:dyDescent="0.25">
      <c r="A92" s="118"/>
      <c r="D92" s="11"/>
      <c r="E92" s="118"/>
    </row>
    <row r="93" spans="1:5" x14ac:dyDescent="0.25">
      <c r="A93" s="118"/>
      <c r="D93" s="11"/>
      <c r="E93" s="118"/>
    </row>
    <row r="94" spans="1:5" x14ac:dyDescent="0.25">
      <c r="A94" s="118"/>
      <c r="D94" s="11"/>
      <c r="E94" s="118"/>
    </row>
    <row r="95" spans="1:5" x14ac:dyDescent="0.25">
      <c r="A95" s="118"/>
      <c r="D95" s="11"/>
      <c r="E95" s="118"/>
    </row>
    <row r="96" spans="1:5" x14ac:dyDescent="0.25">
      <c r="A96" s="118"/>
      <c r="D96" s="11"/>
      <c r="E96" s="118"/>
    </row>
    <row r="97" spans="1:5" x14ac:dyDescent="0.25">
      <c r="A97" s="118"/>
      <c r="D97" s="11"/>
      <c r="E97" s="118"/>
    </row>
    <row r="98" spans="1:5" x14ac:dyDescent="0.25">
      <c r="A98" s="118"/>
      <c r="D98" s="11"/>
      <c r="E98" s="118"/>
    </row>
    <row r="99" spans="1:5" x14ac:dyDescent="0.25">
      <c r="A99" s="118"/>
      <c r="D99" s="11"/>
      <c r="E99" s="118"/>
    </row>
    <row r="100" spans="1:5" x14ac:dyDescent="0.25">
      <c r="A100" s="118"/>
      <c r="D100" s="11"/>
      <c r="E100" s="118"/>
    </row>
    <row r="101" spans="1:5" x14ac:dyDescent="0.25">
      <c r="A101" s="118"/>
      <c r="D101" s="11"/>
      <c r="E101" s="118"/>
    </row>
    <row r="102" spans="1:5" x14ac:dyDescent="0.25">
      <c r="A102" s="118"/>
      <c r="D102" s="11"/>
      <c r="E102" s="118"/>
    </row>
    <row r="103" spans="1:5" x14ac:dyDescent="0.25">
      <c r="A103" s="118"/>
      <c r="D103" s="11"/>
      <c r="E103" s="118"/>
    </row>
    <row r="104" spans="1:5" x14ac:dyDescent="0.25">
      <c r="A104" s="118"/>
      <c r="D104" s="11"/>
      <c r="E104" s="118"/>
    </row>
    <row r="105" spans="1:5" x14ac:dyDescent="0.25">
      <c r="D105"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0BDD4-8AB1-4CB4-9D4A-23364A223FEA}">
  <sheetPr codeName="Sheet15"/>
  <dimension ref="A1:ET118"/>
  <sheetViews>
    <sheetView showGridLines="0" showRowColHeaders="0" topLeftCell="B1" zoomScale="120" zoomScaleNormal="120" workbookViewId="0">
      <selection activeCell="L4" sqref="L4"/>
    </sheetView>
  </sheetViews>
  <sheetFormatPr defaultColWidth="9.140625" defaultRowHeight="15" x14ac:dyDescent="0.25"/>
  <cols>
    <col min="1" max="1" width="25.7109375" customWidth="1"/>
    <col min="2" max="2" width="30.42578125" customWidth="1"/>
    <col min="3" max="5" width="30.7109375" customWidth="1"/>
    <col min="6" max="9" width="15.7109375" customWidth="1"/>
    <col min="10" max="10" width="7.7109375" customWidth="1"/>
    <col min="11" max="11" width="23.85546875" customWidth="1"/>
    <col min="12" max="12" width="0.42578125" customWidth="1"/>
    <col min="13" max="13" width="21.7109375" customWidth="1"/>
    <col min="14" max="14" width="26.7109375" hidden="1" customWidth="1"/>
    <col min="15" max="15" width="9.28515625" hidden="1" customWidth="1"/>
    <col min="16" max="16" width="36.42578125" hidden="1" customWidth="1"/>
    <col min="17" max="17" width="29.7109375" hidden="1" customWidth="1"/>
    <col min="18" max="18" width="18.85546875" hidden="1" customWidth="1"/>
    <col min="19" max="19" width="1.140625" hidden="1" customWidth="1"/>
    <col min="20" max="20" width="2" hidden="1" customWidth="1"/>
    <col min="21" max="21" width="2.28515625" hidden="1" customWidth="1"/>
    <col min="22" max="22" width="2.140625" hidden="1" customWidth="1"/>
    <col min="23" max="23" width="2" hidden="1" customWidth="1"/>
    <col min="24" max="24" width="9.140625" hidden="1" customWidth="1"/>
    <col min="25" max="25" width="0" hidden="1" customWidth="1"/>
    <col min="36" max="36" width="11.42578125" customWidth="1"/>
    <col min="37" max="37" width="9.140625" style="113"/>
    <col min="38" max="38" width="9.42578125" bestFit="1" customWidth="1"/>
    <col min="42" max="44" width="9.140625" hidden="1" customWidth="1"/>
    <col min="45" max="45" width="0" hidden="1" customWidth="1"/>
    <col min="49" max="49" width="9.140625" style="113"/>
  </cols>
  <sheetData>
    <row r="1" spans="1:150" ht="2.4500000000000002" customHeight="1" x14ac:dyDescent="0.25">
      <c r="A1" s="46"/>
      <c r="AP1">
        <v>29</v>
      </c>
      <c r="AQ1" t="str">
        <f>"Chart "&amp;AP1</f>
        <v>Chart 29</v>
      </c>
    </row>
    <row r="2" spans="1:150" ht="65.099999999999994" customHeight="1" x14ac:dyDescent="0.25">
      <c r="A2" s="114"/>
      <c r="B2" s="144" t="s">
        <v>575</v>
      </c>
    </row>
    <row r="3" spans="1:150" ht="3" customHeight="1" x14ac:dyDescent="0.25">
      <c r="A3" s="114"/>
      <c r="B3" s="115"/>
    </row>
    <row r="4" spans="1:150" ht="4.5" customHeight="1" x14ac:dyDescent="0.25">
      <c r="A4" s="116"/>
      <c r="B4" s="47"/>
      <c r="C4" s="47"/>
      <c r="D4" s="47"/>
      <c r="E4" s="47"/>
      <c r="F4" s="47"/>
      <c r="G4" s="47"/>
      <c r="H4" s="47"/>
      <c r="L4" s="68"/>
    </row>
    <row r="5" spans="1:150" ht="60" customHeight="1" x14ac:dyDescent="0.25">
      <c r="A5" s="114"/>
      <c r="B5" s="259" t="s">
        <v>576</v>
      </c>
      <c r="C5" s="259"/>
      <c r="D5" s="259"/>
      <c r="E5" s="259"/>
      <c r="F5" s="259"/>
      <c r="G5" s="259"/>
      <c r="H5" s="259"/>
      <c r="I5" s="161"/>
      <c r="ET5" s="118"/>
    </row>
    <row r="6" spans="1:150" ht="24.95" customHeight="1" x14ac:dyDescent="0.3">
      <c r="A6" s="114"/>
      <c r="B6" s="48" t="s">
        <v>450</v>
      </c>
      <c r="C6" s="89"/>
      <c r="D6" s="89"/>
      <c r="E6" s="89"/>
      <c r="F6" s="89"/>
      <c r="ET6" s="118"/>
    </row>
    <row r="7" spans="1:150" ht="3" customHeight="1" x14ac:dyDescent="0.3">
      <c r="A7" s="114"/>
      <c r="B7" s="49"/>
      <c r="C7" s="209"/>
      <c r="D7" s="209"/>
      <c r="E7" s="209"/>
      <c r="F7" s="209"/>
      <c r="G7" s="25"/>
      <c r="H7" s="25"/>
      <c r="I7" s="25"/>
      <c r="J7" s="291"/>
      <c r="K7" s="291"/>
      <c r="ET7" s="118"/>
    </row>
    <row r="8" spans="1:150" ht="15" customHeight="1" x14ac:dyDescent="0.25">
      <c r="A8" s="114"/>
      <c r="B8" s="210" t="s">
        <v>577</v>
      </c>
      <c r="C8" s="210" t="s">
        <v>578</v>
      </c>
      <c r="D8" s="210" t="s">
        <v>579</v>
      </c>
      <c r="E8" s="210" t="s">
        <v>284</v>
      </c>
      <c r="F8" s="292" t="s">
        <v>580</v>
      </c>
      <c r="G8" s="293"/>
      <c r="H8" s="294" t="s">
        <v>581</v>
      </c>
      <c r="I8" s="295"/>
      <c r="J8" s="296" t="s">
        <v>582</v>
      </c>
      <c r="K8" s="297"/>
      <c r="ET8" s="118"/>
    </row>
    <row r="9" spans="1:150" ht="18.75" customHeight="1" x14ac:dyDescent="0.25">
      <c r="A9" s="114"/>
      <c r="B9" s="211" t="str">
        <f>IFERROR(E9*J9,"N/A")</f>
        <v>N/A</v>
      </c>
      <c r="C9" s="211" t="s">
        <v>608</v>
      </c>
      <c r="D9" s="211" t="s">
        <v>608</v>
      </c>
      <c r="E9" s="212" t="str">
        <f>Simulate!E9</f>
        <v>-</v>
      </c>
      <c r="F9" s="289">
        <f>Simulate!G42</f>
        <v>0</v>
      </c>
      <c r="G9" s="290"/>
      <c r="H9" s="289">
        <f>Simulate!G71</f>
        <v>0</v>
      </c>
      <c r="I9" s="290"/>
      <c r="J9" s="289" t="str">
        <f>Simulate!F9</f>
        <v>-</v>
      </c>
      <c r="K9" s="290"/>
      <c r="ET9" s="118"/>
    </row>
    <row r="10" spans="1:150" ht="15" customHeight="1" thickBot="1" x14ac:dyDescent="0.4">
      <c r="A10" s="114"/>
      <c r="B10" s="90"/>
      <c r="C10" s="90"/>
      <c r="D10" s="90"/>
      <c r="ET10" s="118"/>
    </row>
    <row r="11" spans="1:150" ht="24.95" customHeight="1" x14ac:dyDescent="0.35">
      <c r="A11" s="114"/>
      <c r="B11" s="48" t="s">
        <v>583</v>
      </c>
      <c r="C11" s="90"/>
      <c r="D11" s="90"/>
      <c r="E11" s="90"/>
      <c r="F11" s="90"/>
      <c r="AP11" s="117"/>
      <c r="AQ11" s="117"/>
      <c r="AR11" s="117"/>
      <c r="AS11" s="117"/>
      <c r="ET11" s="118"/>
    </row>
    <row r="12" spans="1:150" ht="3" customHeight="1" x14ac:dyDescent="0.25">
      <c r="A12" s="118"/>
      <c r="B12" s="25"/>
      <c r="C12" s="25"/>
      <c r="D12" s="25"/>
      <c r="E12" s="25"/>
      <c r="F12" s="25"/>
      <c r="G12" s="25"/>
      <c r="H12" s="25"/>
      <c r="I12" s="25"/>
      <c r="J12" s="25"/>
      <c r="K12" s="25"/>
      <c r="AH12" s="5"/>
      <c r="AI12" s="5"/>
      <c r="AJ12" s="5"/>
      <c r="AK12" s="119"/>
      <c r="AL12" s="5"/>
      <c r="AR12" s="120"/>
      <c r="AS12" s="113"/>
      <c r="ET12" s="118"/>
    </row>
    <row r="13" spans="1:150" x14ac:dyDescent="0.25">
      <c r="A13" s="118"/>
      <c r="AL13" s="113"/>
      <c r="AR13" s="120"/>
      <c r="AS13" s="113"/>
      <c r="ET13" s="118"/>
    </row>
    <row r="14" spans="1:150" x14ac:dyDescent="0.25">
      <c r="A14" s="118"/>
      <c r="AL14" s="113"/>
      <c r="AR14" s="120"/>
      <c r="AS14" s="113"/>
      <c r="ET14" s="118"/>
    </row>
    <row r="15" spans="1:150" x14ac:dyDescent="0.25">
      <c r="A15" s="118"/>
      <c r="AL15" s="113"/>
      <c r="AR15" s="120"/>
      <c r="AS15" s="113"/>
      <c r="ET15" s="118"/>
    </row>
    <row r="16" spans="1:150" x14ac:dyDescent="0.25">
      <c r="A16" s="118"/>
      <c r="AL16" s="113"/>
      <c r="AR16" s="120"/>
      <c r="AS16" s="113"/>
      <c r="ET16" s="118"/>
    </row>
    <row r="17" spans="1:150" x14ac:dyDescent="0.25">
      <c r="A17" s="118"/>
      <c r="AL17" s="113"/>
      <c r="AR17" s="120"/>
      <c r="AS17" s="113"/>
      <c r="ET17" s="118"/>
    </row>
    <row r="18" spans="1:150" x14ac:dyDescent="0.25">
      <c r="A18" s="118"/>
      <c r="AL18" s="113"/>
      <c r="AR18" s="120"/>
      <c r="AS18" s="113"/>
      <c r="ET18" s="118"/>
    </row>
    <row r="19" spans="1:150" x14ac:dyDescent="0.25">
      <c r="A19" s="118"/>
      <c r="AL19" s="113"/>
      <c r="AR19" s="120"/>
      <c r="AS19" s="113"/>
      <c r="ET19" s="118"/>
    </row>
    <row r="20" spans="1:150" x14ac:dyDescent="0.25">
      <c r="A20" s="118"/>
      <c r="AL20" s="113"/>
      <c r="AR20" s="120"/>
      <c r="AS20" s="113"/>
      <c r="ET20" s="118"/>
    </row>
    <row r="21" spans="1:150" x14ac:dyDescent="0.25">
      <c r="A21" s="118"/>
      <c r="AL21" s="113"/>
      <c r="AR21" s="120"/>
      <c r="AS21" s="113"/>
      <c r="ET21" s="118"/>
    </row>
    <row r="22" spans="1:150" x14ac:dyDescent="0.25">
      <c r="A22" s="118"/>
      <c r="AL22" s="113"/>
      <c r="AR22" s="120"/>
      <c r="AS22" s="113"/>
      <c r="ET22" s="118"/>
    </row>
    <row r="23" spans="1:150" x14ac:dyDescent="0.25">
      <c r="A23" s="118"/>
      <c r="AL23" s="113"/>
      <c r="AR23" s="120"/>
      <c r="AS23" s="113"/>
      <c r="ET23" s="118"/>
    </row>
    <row r="24" spans="1:150" x14ac:dyDescent="0.25">
      <c r="A24" s="118"/>
      <c r="AL24" s="113"/>
      <c r="AR24" s="120"/>
      <c r="AS24" s="113"/>
      <c r="ET24" s="118"/>
    </row>
    <row r="25" spans="1:150" x14ac:dyDescent="0.25">
      <c r="A25" s="118"/>
      <c r="AL25" s="113"/>
      <c r="AR25" s="120"/>
      <c r="AS25" s="113"/>
      <c r="ET25" s="118"/>
    </row>
    <row r="26" spans="1:150" x14ac:dyDescent="0.25">
      <c r="A26" s="118"/>
      <c r="AL26" s="113"/>
      <c r="AR26" s="120"/>
      <c r="AS26" s="113"/>
      <c r="ET26" s="118"/>
    </row>
    <row r="27" spans="1:150" x14ac:dyDescent="0.25">
      <c r="A27" s="118"/>
      <c r="AL27" s="113"/>
      <c r="AR27" s="120"/>
      <c r="AS27" s="113"/>
      <c r="ET27" s="118"/>
    </row>
    <row r="28" spans="1:150" x14ac:dyDescent="0.25">
      <c r="A28" s="118"/>
      <c r="AL28" s="113"/>
      <c r="AR28" s="120"/>
      <c r="AS28" s="113"/>
      <c r="ET28" s="118"/>
    </row>
    <row r="29" spans="1:150" x14ac:dyDescent="0.25">
      <c r="A29" s="118"/>
      <c r="AL29" s="113"/>
      <c r="AR29" s="120"/>
      <c r="AS29" s="113"/>
      <c r="ET29" s="118"/>
    </row>
    <row r="30" spans="1:150" x14ac:dyDescent="0.25">
      <c r="A30" s="118"/>
      <c r="AL30" s="113"/>
      <c r="AR30" s="120"/>
      <c r="AS30" s="113"/>
      <c r="ET30" s="118"/>
    </row>
    <row r="31" spans="1:150" x14ac:dyDescent="0.25">
      <c r="A31" s="118"/>
      <c r="AL31" s="113"/>
      <c r="AR31" s="120"/>
      <c r="AS31" s="113"/>
      <c r="ET31" s="118"/>
    </row>
    <row r="32" spans="1:150" x14ac:dyDescent="0.25">
      <c r="A32" s="118"/>
      <c r="AL32" s="113"/>
      <c r="AR32" s="120"/>
      <c r="AS32" s="113"/>
      <c r="ET32" s="118"/>
    </row>
    <row r="33" spans="1:150" x14ac:dyDescent="0.25">
      <c r="A33" s="118"/>
      <c r="AL33" s="113"/>
      <c r="AR33" s="120"/>
      <c r="AS33" s="113"/>
      <c r="ET33" s="118"/>
    </row>
    <row r="34" spans="1:150" x14ac:dyDescent="0.25">
      <c r="A34" s="118"/>
      <c r="AL34" s="113"/>
      <c r="AR34" s="120"/>
      <c r="AS34" s="113"/>
      <c r="ET34" s="118"/>
    </row>
    <row r="35" spans="1:150" x14ac:dyDescent="0.25">
      <c r="A35" s="118"/>
      <c r="AL35" s="113"/>
      <c r="AR35" s="120"/>
      <c r="AS35" s="113"/>
      <c r="ET35" s="118"/>
    </row>
    <row r="36" spans="1:150" x14ac:dyDescent="0.25">
      <c r="A36" s="118"/>
      <c r="AL36" s="113"/>
      <c r="AR36" s="120"/>
      <c r="AS36" s="113"/>
      <c r="ET36" s="118"/>
    </row>
    <row r="37" spans="1:150" x14ac:dyDescent="0.25">
      <c r="A37" s="118"/>
      <c r="AL37" s="113"/>
      <c r="AR37" s="120"/>
      <c r="AS37" s="113"/>
      <c r="ET37" s="118"/>
    </row>
    <row r="38" spans="1:150" x14ac:dyDescent="0.25">
      <c r="A38" s="118"/>
      <c r="AL38" s="113"/>
      <c r="AR38" s="120"/>
      <c r="AS38" s="113"/>
      <c r="ET38" s="118"/>
    </row>
    <row r="39" spans="1:150" x14ac:dyDescent="0.25">
      <c r="A39" s="118"/>
      <c r="AL39" s="113"/>
      <c r="AR39" s="120"/>
      <c r="AS39" s="113"/>
      <c r="ET39" s="118"/>
    </row>
    <row r="40" spans="1:150" x14ac:dyDescent="0.25">
      <c r="A40" s="118"/>
      <c r="AL40" s="113"/>
      <c r="AR40" s="120"/>
      <c r="AS40" s="113"/>
      <c r="ET40" s="118"/>
    </row>
    <row r="41" spans="1:150" ht="24.95" customHeight="1" x14ac:dyDescent="0.3">
      <c r="A41" s="118"/>
      <c r="B41" s="48" t="s">
        <v>584</v>
      </c>
      <c r="G41" s="48" t="s">
        <v>585</v>
      </c>
      <c r="I41" s="48"/>
      <c r="AL41" s="113"/>
      <c r="AR41" s="120"/>
      <c r="AS41" s="113"/>
      <c r="ET41" s="118"/>
    </row>
    <row r="42" spans="1:150" ht="3" customHeight="1" x14ac:dyDescent="0.25">
      <c r="A42" s="118"/>
      <c r="B42" s="25"/>
      <c r="C42" s="25"/>
      <c r="D42" s="25"/>
      <c r="E42" s="25"/>
      <c r="F42" s="25"/>
      <c r="G42" s="25"/>
      <c r="H42" s="25"/>
      <c r="I42" s="25"/>
      <c r="J42" s="25"/>
      <c r="K42" s="25"/>
      <c r="AL42" s="113"/>
      <c r="AR42" s="120"/>
      <c r="AS42" s="113"/>
      <c r="ET42" s="118"/>
    </row>
    <row r="43" spans="1:150" ht="15" customHeight="1" x14ac:dyDescent="0.25">
      <c r="A43" s="118"/>
      <c r="B43" s="213"/>
      <c r="C43" s="213"/>
      <c r="D43" s="213"/>
      <c r="E43" s="213"/>
      <c r="F43" s="213"/>
      <c r="G43" s="210" t="s">
        <v>8</v>
      </c>
      <c r="H43" s="210" t="s">
        <v>283</v>
      </c>
      <c r="I43" s="284" t="s">
        <v>282</v>
      </c>
      <c r="J43" s="278"/>
      <c r="K43" s="210" t="s">
        <v>586</v>
      </c>
      <c r="AL43" s="113"/>
      <c r="AR43" s="120"/>
      <c r="AS43" s="113"/>
      <c r="ET43" s="118"/>
    </row>
    <row r="44" spans="1:150" ht="30" customHeight="1" x14ac:dyDescent="0.25">
      <c r="A44" s="118"/>
      <c r="G44" s="225" t="str">
        <f>Scope!C17</f>
        <v>Please select</v>
      </c>
      <c r="H44" s="225" t="str">
        <f>Scope!C18</f>
        <v>Please select</v>
      </c>
      <c r="I44" s="282" t="str">
        <f>IF(Scope!C20="","Please select",Scope!C20)</f>
        <v>Please select</v>
      </c>
      <c r="J44" s="285"/>
      <c r="K44" s="225" t="str">
        <f>Scope!C21</f>
        <v>Please select</v>
      </c>
      <c r="Q44" t="s">
        <v>18</v>
      </c>
      <c r="R44" t="s">
        <v>587</v>
      </c>
      <c r="AL44" s="113"/>
      <c r="AR44" s="120"/>
      <c r="AS44" s="113"/>
      <c r="ET44" s="118"/>
    </row>
    <row r="45" spans="1:150" x14ac:dyDescent="0.25">
      <c r="A45" s="118"/>
      <c r="Q45" t="s">
        <v>22</v>
      </c>
      <c r="R45" t="s">
        <v>588</v>
      </c>
      <c r="AL45" s="113"/>
      <c r="AR45" s="120"/>
      <c r="AS45" s="113"/>
      <c r="ET45" s="118"/>
    </row>
    <row r="46" spans="1:150" ht="3" customHeight="1" x14ac:dyDescent="0.25">
      <c r="A46" s="118"/>
      <c r="G46" s="47"/>
      <c r="H46" s="47"/>
      <c r="I46" s="47"/>
      <c r="J46" s="47"/>
      <c r="K46" s="47"/>
      <c r="AL46" s="113"/>
      <c r="AR46" s="120"/>
      <c r="AS46" s="113"/>
      <c r="ET46" s="118"/>
    </row>
    <row r="47" spans="1:150" x14ac:dyDescent="0.25">
      <c r="A47" s="118"/>
      <c r="G47" s="286" t="s">
        <v>589</v>
      </c>
      <c r="H47" s="287" t="s">
        <v>608</v>
      </c>
      <c r="I47" s="287"/>
      <c r="J47" s="287"/>
      <c r="K47" s="287"/>
      <c r="Q47" t="s">
        <v>28</v>
      </c>
      <c r="R47" t="s">
        <v>590</v>
      </c>
      <c r="AL47" s="113"/>
      <c r="AR47" s="120"/>
      <c r="AS47" s="113"/>
      <c r="ET47" s="118"/>
    </row>
    <row r="48" spans="1:150" x14ac:dyDescent="0.25">
      <c r="A48" s="118"/>
      <c r="G48" s="286"/>
      <c r="H48" s="287"/>
      <c r="I48" s="287"/>
      <c r="J48" s="287"/>
      <c r="K48" s="287"/>
      <c r="Q48" t="s">
        <v>33</v>
      </c>
      <c r="R48" t="s">
        <v>591</v>
      </c>
      <c r="AL48" s="113"/>
      <c r="AR48" s="120"/>
      <c r="AS48" s="113"/>
      <c r="ET48" s="118"/>
    </row>
    <row r="49" spans="1:150" ht="30" customHeight="1" x14ac:dyDescent="0.25">
      <c r="A49" s="118"/>
      <c r="G49" s="286"/>
      <c r="H49" s="287"/>
      <c r="I49" s="287"/>
      <c r="J49" s="287"/>
      <c r="K49" s="287"/>
      <c r="Q49" t="s">
        <v>43</v>
      </c>
      <c r="R49" t="s">
        <v>592</v>
      </c>
      <c r="AL49" s="113"/>
      <c r="AR49" s="120"/>
      <c r="AS49" s="113"/>
      <c r="ET49" s="118"/>
    </row>
    <row r="50" spans="1:150" ht="3" customHeight="1" x14ac:dyDescent="0.25">
      <c r="A50" s="118"/>
      <c r="G50" s="214"/>
      <c r="H50" s="215"/>
      <c r="I50" s="215"/>
      <c r="J50" s="215"/>
      <c r="K50" s="215"/>
      <c r="AL50" s="113"/>
      <c r="AR50" s="120"/>
      <c r="AS50" s="113"/>
      <c r="ET50" s="118"/>
    </row>
    <row r="51" spans="1:150" ht="15" customHeight="1" x14ac:dyDescent="0.25">
      <c r="A51" s="118"/>
      <c r="G51" s="288" t="s">
        <v>593</v>
      </c>
      <c r="H51" s="287" t="s">
        <v>608</v>
      </c>
      <c r="I51" s="287"/>
      <c r="J51" s="287"/>
      <c r="K51" s="287"/>
      <c r="Q51" t="s">
        <v>48</v>
      </c>
      <c r="R51" t="s">
        <v>451</v>
      </c>
      <c r="AL51" s="113"/>
      <c r="AR51" s="120"/>
      <c r="AS51" s="113"/>
      <c r="ET51" s="118"/>
    </row>
    <row r="52" spans="1:150" ht="15" customHeight="1" x14ac:dyDescent="0.25">
      <c r="A52" s="118"/>
      <c r="G52" s="288"/>
      <c r="H52" s="287"/>
      <c r="I52" s="287"/>
      <c r="J52" s="287"/>
      <c r="K52" s="287"/>
      <c r="Q52" t="s">
        <v>38</v>
      </c>
      <c r="R52" t="s">
        <v>452</v>
      </c>
      <c r="AL52" s="113"/>
      <c r="AR52" s="120"/>
      <c r="AS52" s="113"/>
      <c r="ET52" s="118"/>
    </row>
    <row r="53" spans="1:150" ht="30" customHeight="1" x14ac:dyDescent="0.25">
      <c r="A53" s="118"/>
      <c r="G53" s="288"/>
      <c r="H53" s="287"/>
      <c r="I53" s="287"/>
      <c r="J53" s="287"/>
      <c r="K53" s="287"/>
      <c r="AL53" s="113"/>
      <c r="AR53" s="120"/>
      <c r="AS53" s="113"/>
      <c r="ET53" s="118"/>
    </row>
    <row r="54" spans="1:150" ht="3" customHeight="1" x14ac:dyDescent="0.25">
      <c r="A54" s="118"/>
      <c r="G54" s="216"/>
      <c r="H54" s="215"/>
      <c r="I54" s="215"/>
      <c r="J54" s="215"/>
      <c r="K54" s="215"/>
      <c r="AL54" s="113"/>
      <c r="AR54" s="120"/>
      <c r="AS54" s="113"/>
      <c r="ET54" s="118"/>
    </row>
    <row r="55" spans="1:150" x14ac:dyDescent="0.25">
      <c r="A55" s="118"/>
      <c r="AL55" s="113"/>
      <c r="AR55" s="120"/>
      <c r="AS55" s="113"/>
      <c r="ET55" s="118"/>
    </row>
    <row r="56" spans="1:150" ht="17.25" x14ac:dyDescent="0.3">
      <c r="A56" s="118"/>
      <c r="G56" s="48" t="s">
        <v>594</v>
      </c>
      <c r="AL56" s="113"/>
      <c r="AR56" s="120"/>
      <c r="AS56" s="113"/>
      <c r="ET56" s="118"/>
    </row>
    <row r="57" spans="1:150" ht="3" customHeight="1" x14ac:dyDescent="0.25">
      <c r="A57" s="118"/>
      <c r="G57" s="276"/>
      <c r="H57" s="276"/>
      <c r="I57" s="276"/>
      <c r="J57" s="276"/>
      <c r="K57" s="276"/>
      <c r="AL57" s="113"/>
      <c r="AR57" s="120"/>
      <c r="AS57" s="113"/>
      <c r="ET57" s="118"/>
    </row>
    <row r="58" spans="1:150" ht="15" customHeight="1" x14ac:dyDescent="0.25">
      <c r="A58" s="118"/>
      <c r="G58" s="277" t="s">
        <v>595</v>
      </c>
      <c r="H58" s="277"/>
      <c r="I58" s="277"/>
      <c r="J58" s="277"/>
      <c r="K58" s="277"/>
      <c r="AL58" s="113"/>
      <c r="AR58" s="120"/>
      <c r="AS58" s="113"/>
      <c r="ET58" s="118"/>
    </row>
    <row r="59" spans="1:150" ht="15" customHeight="1" x14ac:dyDescent="0.25">
      <c r="A59" s="118"/>
      <c r="G59" s="275" t="s">
        <v>596</v>
      </c>
      <c r="H59" s="275"/>
      <c r="I59" s="278"/>
      <c r="J59" s="275" t="s">
        <v>597</v>
      </c>
      <c r="K59" s="275"/>
      <c r="AL59" s="113"/>
      <c r="AR59" s="120"/>
      <c r="AS59" s="113"/>
      <c r="ET59" s="118"/>
    </row>
    <row r="60" spans="1:150" x14ac:dyDescent="0.25">
      <c r="A60" s="118"/>
      <c r="G60" s="279"/>
      <c r="H60" s="280"/>
      <c r="I60" s="281"/>
      <c r="J60" s="282" t="s">
        <v>608</v>
      </c>
      <c r="K60" s="283"/>
      <c r="AL60" s="113"/>
      <c r="AR60" s="120"/>
      <c r="AS60" s="113"/>
      <c r="ET60" s="118"/>
    </row>
    <row r="61" spans="1:150" x14ac:dyDescent="0.25">
      <c r="A61" s="118"/>
      <c r="AL61" s="113"/>
      <c r="AR61" s="120"/>
      <c r="AS61" s="113"/>
      <c r="ET61" s="118"/>
    </row>
    <row r="62" spans="1:150" ht="15" customHeight="1" x14ac:dyDescent="0.25">
      <c r="A62" s="118"/>
      <c r="G62" s="275" t="s">
        <v>598</v>
      </c>
      <c r="H62" s="275"/>
      <c r="I62" s="275" t="s">
        <v>599</v>
      </c>
      <c r="J62" s="275"/>
      <c r="K62" s="217" t="s">
        <v>600</v>
      </c>
      <c r="AL62" s="113"/>
      <c r="AR62" s="120"/>
      <c r="AS62" s="113"/>
      <c r="ET62" s="118"/>
    </row>
    <row r="63" spans="1:150" x14ac:dyDescent="0.25">
      <c r="A63" s="118"/>
      <c r="G63" s="263">
        <v>1</v>
      </c>
      <c r="H63" s="264"/>
      <c r="I63" s="265">
        <f>Calculate!E102</f>
        <v>0</v>
      </c>
      <c r="J63" s="266"/>
      <c r="K63" s="218" t="s">
        <v>608</v>
      </c>
      <c r="AL63" s="113"/>
      <c r="AR63" s="120"/>
      <c r="AS63" s="113"/>
      <c r="ET63" s="118"/>
    </row>
    <row r="64" spans="1:150" x14ac:dyDescent="0.25">
      <c r="A64" s="118"/>
      <c r="G64" s="267">
        <v>0.75</v>
      </c>
      <c r="H64" s="268"/>
      <c r="I64" s="269">
        <f>Calculate!E101</f>
        <v>0</v>
      </c>
      <c r="J64" s="270"/>
      <c r="K64" s="219" t="s">
        <v>608</v>
      </c>
      <c r="AL64" s="113"/>
      <c r="AR64" s="120"/>
      <c r="AS64" s="113"/>
      <c r="ET64" s="118"/>
    </row>
    <row r="65" spans="1:150" x14ac:dyDescent="0.25">
      <c r="A65" s="118"/>
      <c r="G65" s="263">
        <v>0.5</v>
      </c>
      <c r="H65" s="264"/>
      <c r="I65" s="265">
        <f>Calculate!E100</f>
        <v>0</v>
      </c>
      <c r="J65" s="266"/>
      <c r="K65" s="218" t="s">
        <v>608</v>
      </c>
      <c r="AL65" s="113"/>
      <c r="AR65" s="120"/>
      <c r="AS65" s="113"/>
      <c r="ET65" s="118"/>
    </row>
    <row r="66" spans="1:150" x14ac:dyDescent="0.25">
      <c r="A66" s="118"/>
      <c r="G66" s="267">
        <v>0.25</v>
      </c>
      <c r="H66" s="268"/>
      <c r="I66" s="269">
        <f>Calculate!E99</f>
        <v>0</v>
      </c>
      <c r="J66" s="270"/>
      <c r="K66" s="219" t="s">
        <v>608</v>
      </c>
      <c r="AL66" s="113"/>
      <c r="AR66" s="120"/>
      <c r="AS66" s="113"/>
      <c r="ET66" s="118"/>
    </row>
    <row r="67" spans="1:150" x14ac:dyDescent="0.25">
      <c r="A67" s="118"/>
      <c r="G67" s="271">
        <v>0</v>
      </c>
      <c r="H67" s="272"/>
      <c r="I67" s="273">
        <f>Calculate!E98</f>
        <v>0</v>
      </c>
      <c r="J67" s="274"/>
      <c r="K67" s="220" t="s">
        <v>608</v>
      </c>
      <c r="AL67" s="113"/>
      <c r="AR67" s="120"/>
      <c r="AS67" s="113"/>
      <c r="ET67" s="118"/>
    </row>
    <row r="68" spans="1:150" x14ac:dyDescent="0.25">
      <c r="A68" s="118"/>
      <c r="AL68" s="113"/>
      <c r="AR68" s="120"/>
      <c r="AS68" s="113"/>
      <c r="ET68" s="118"/>
    </row>
    <row r="69" spans="1:150" x14ac:dyDescent="0.25">
      <c r="A69" s="118"/>
      <c r="AL69" s="113"/>
      <c r="AR69" s="120"/>
      <c r="AS69" s="113"/>
      <c r="ET69" s="118"/>
    </row>
    <row r="70" spans="1:150" x14ac:dyDescent="0.25">
      <c r="A70" s="118"/>
      <c r="AL70" s="113"/>
      <c r="AR70" s="120"/>
      <c r="AS70" s="113"/>
      <c r="ET70" s="118"/>
    </row>
    <row r="71" spans="1:150" x14ac:dyDescent="0.25">
      <c r="A71" s="118"/>
      <c r="AL71" s="113"/>
      <c r="AR71" s="120"/>
      <c r="AS71" s="113"/>
      <c r="ET71" s="118"/>
    </row>
    <row r="72" spans="1:150" x14ac:dyDescent="0.25">
      <c r="A72" s="118"/>
      <c r="AL72" s="113"/>
      <c r="AR72" s="120"/>
      <c r="AS72" s="113"/>
      <c r="ET72" s="118"/>
    </row>
    <row r="73" spans="1:150" x14ac:dyDescent="0.25">
      <c r="A73" s="118"/>
      <c r="AL73" s="113"/>
      <c r="AR73" s="120"/>
      <c r="AS73" s="113"/>
      <c r="ET73" s="118"/>
    </row>
    <row r="74" spans="1:150" x14ac:dyDescent="0.25">
      <c r="A74" s="118"/>
      <c r="AL74" s="113"/>
      <c r="AR74" s="120"/>
      <c r="AS74" s="113"/>
      <c r="ET74" s="118"/>
    </row>
    <row r="75" spans="1:150" x14ac:dyDescent="0.25">
      <c r="A75" s="118"/>
      <c r="AL75" s="113"/>
      <c r="AR75" s="120"/>
      <c r="AS75" s="113"/>
      <c r="ET75" s="118"/>
    </row>
    <row r="76" spans="1:150" x14ac:dyDescent="0.25">
      <c r="A76" s="118"/>
      <c r="AL76" s="113"/>
      <c r="AR76" s="120"/>
      <c r="AS76" s="113"/>
      <c r="ET76" s="118"/>
    </row>
    <row r="77" spans="1:150" x14ac:dyDescent="0.25">
      <c r="A77" s="118"/>
      <c r="AL77" s="113"/>
      <c r="AR77" s="120"/>
      <c r="AS77" s="113"/>
      <c r="ET77" s="118"/>
    </row>
    <row r="78" spans="1:150" x14ac:dyDescent="0.25">
      <c r="A78" s="118"/>
      <c r="AL78" s="113"/>
      <c r="AR78" s="120"/>
      <c r="AS78" s="113"/>
      <c r="ET78" s="118"/>
    </row>
    <row r="79" spans="1:150" x14ac:dyDescent="0.25">
      <c r="A79" s="118"/>
      <c r="AL79" s="113"/>
      <c r="AR79" s="120"/>
      <c r="AS79" s="113"/>
      <c r="ET79" s="118"/>
    </row>
    <row r="80" spans="1:150" x14ac:dyDescent="0.25">
      <c r="A80" s="118"/>
      <c r="AL80" s="113"/>
      <c r="AR80" s="120"/>
      <c r="AS80" s="113"/>
      <c r="ET80" s="118"/>
    </row>
    <row r="81" spans="1:150" x14ac:dyDescent="0.25">
      <c r="A81" s="118"/>
      <c r="AL81" s="113"/>
      <c r="AR81" s="120"/>
      <c r="AS81" s="113"/>
      <c r="ET81" s="118"/>
    </row>
    <row r="82" spans="1:150" x14ac:dyDescent="0.25">
      <c r="A82" s="118"/>
      <c r="AL82" s="113"/>
      <c r="AR82" s="120"/>
      <c r="AS82" s="113"/>
      <c r="ET82" s="118"/>
    </row>
    <row r="83" spans="1:150" x14ac:dyDescent="0.25">
      <c r="A83" s="118"/>
      <c r="AL83" s="113"/>
      <c r="AR83" s="120"/>
      <c r="AS83" s="113"/>
      <c r="ET83" s="118"/>
    </row>
    <row r="84" spans="1:150" x14ac:dyDescent="0.25">
      <c r="A84" s="118"/>
      <c r="AL84" s="113"/>
      <c r="AR84" s="120"/>
      <c r="AS84" s="113"/>
      <c r="ET84" s="118"/>
    </row>
    <row r="85" spans="1:150" x14ac:dyDescent="0.25">
      <c r="A85" s="118"/>
      <c r="AL85" s="113"/>
      <c r="AR85" s="120"/>
      <c r="AS85" s="113"/>
      <c r="ET85" s="118"/>
    </row>
    <row r="86" spans="1:150" x14ac:dyDescent="0.25">
      <c r="A86" s="118"/>
      <c r="AL86" s="113"/>
      <c r="AR86" s="120"/>
      <c r="AS86" s="113"/>
      <c r="ET86" s="118"/>
    </row>
    <row r="87" spans="1:150" x14ac:dyDescent="0.25">
      <c r="A87" s="118"/>
      <c r="AL87" s="113"/>
      <c r="AR87" s="120"/>
      <c r="AS87" s="113"/>
      <c r="ET87" s="118"/>
    </row>
    <row r="88" spans="1:150" x14ac:dyDescent="0.25">
      <c r="A88" s="118"/>
      <c r="AL88" s="113"/>
      <c r="AR88" s="120"/>
      <c r="AS88" s="113"/>
      <c r="ET88" s="118"/>
    </row>
    <row r="89" spans="1:150" x14ac:dyDescent="0.25">
      <c r="A89" s="118"/>
      <c r="AL89" s="113"/>
      <c r="AR89" s="120"/>
      <c r="AS89" s="113"/>
      <c r="ET89" s="118"/>
    </row>
    <row r="90" spans="1:150" x14ac:dyDescent="0.25">
      <c r="A90" s="118"/>
      <c r="AL90" s="113"/>
      <c r="AR90" s="120"/>
      <c r="AS90" s="113"/>
      <c r="ET90" s="118"/>
    </row>
    <row r="91" spans="1:150" x14ac:dyDescent="0.25">
      <c r="A91" s="118"/>
      <c r="AL91" s="113"/>
      <c r="AR91" s="120"/>
      <c r="AS91" s="113"/>
      <c r="ET91" s="118"/>
    </row>
    <row r="92" spans="1:150" x14ac:dyDescent="0.25">
      <c r="A92" s="118"/>
      <c r="AL92" s="113"/>
      <c r="AR92" s="120"/>
      <c r="AS92" s="113"/>
      <c r="ET92" s="118"/>
    </row>
    <row r="93" spans="1:150" x14ac:dyDescent="0.25">
      <c r="A93" s="118"/>
      <c r="AL93" s="113"/>
      <c r="AR93" s="120"/>
      <c r="AS93" s="113"/>
      <c r="ET93" s="118"/>
    </row>
    <row r="94" spans="1:150" x14ac:dyDescent="0.25">
      <c r="A94" s="118"/>
      <c r="AL94" s="113"/>
      <c r="AR94" s="120"/>
      <c r="AS94" s="113"/>
      <c r="ET94" s="118"/>
    </row>
    <row r="95" spans="1:150" x14ac:dyDescent="0.25">
      <c r="A95" s="118"/>
      <c r="AL95" s="113"/>
      <c r="AR95" s="120"/>
      <c r="AS95" s="113"/>
      <c r="ET95" s="118"/>
    </row>
    <row r="96" spans="1:150" x14ac:dyDescent="0.25">
      <c r="A96" s="118"/>
      <c r="AL96" s="113"/>
      <c r="AR96" s="120"/>
      <c r="AS96" s="113"/>
      <c r="ET96" s="118"/>
    </row>
    <row r="97" spans="1:150" x14ac:dyDescent="0.25">
      <c r="A97" s="118"/>
      <c r="AL97" s="113"/>
      <c r="AR97" s="120"/>
      <c r="AS97" s="113"/>
      <c r="ET97" s="118"/>
    </row>
    <row r="98" spans="1:150" x14ac:dyDescent="0.25">
      <c r="A98" s="118"/>
      <c r="AL98" s="113"/>
      <c r="AR98" s="120"/>
      <c r="AS98" s="113"/>
      <c r="ET98" s="118"/>
    </row>
    <row r="99" spans="1:150" x14ac:dyDescent="0.25">
      <c r="A99" s="118"/>
      <c r="AL99" s="113"/>
      <c r="AR99" s="120"/>
      <c r="AS99" s="113"/>
      <c r="ET99" s="118"/>
    </row>
    <row r="100" spans="1:150" x14ac:dyDescent="0.25">
      <c r="A100" s="118"/>
      <c r="AL100" s="113"/>
      <c r="AR100" s="120"/>
      <c r="AS100" s="113"/>
      <c r="ET100" s="118"/>
    </row>
    <row r="101" spans="1:150" x14ac:dyDescent="0.25">
      <c r="A101" s="118"/>
      <c r="AL101" s="113"/>
      <c r="AR101" s="120"/>
      <c r="AS101" s="113"/>
      <c r="ET101" s="118"/>
    </row>
    <row r="102" spans="1:150" x14ac:dyDescent="0.25">
      <c r="A102" s="118"/>
      <c r="AL102" s="113"/>
      <c r="AR102" s="120"/>
      <c r="AS102" s="113"/>
      <c r="ET102" s="118"/>
    </row>
    <row r="103" spans="1:150" x14ac:dyDescent="0.25">
      <c r="A103" s="118"/>
      <c r="AL103" s="113"/>
      <c r="AR103" s="120"/>
      <c r="AS103" s="113"/>
      <c r="ET103" s="118"/>
    </row>
    <row r="104" spans="1:150" x14ac:dyDescent="0.25">
      <c r="A104" s="118"/>
      <c r="AL104" s="113"/>
      <c r="AR104" s="120"/>
      <c r="AS104" s="113"/>
      <c r="ET104" s="118"/>
    </row>
    <row r="105" spans="1:150" x14ac:dyDescent="0.25">
      <c r="A105" s="118"/>
      <c r="AL105" s="113"/>
      <c r="AR105" s="120"/>
      <c r="AS105" s="113"/>
      <c r="ET105" s="118"/>
    </row>
    <row r="106" spans="1:150" x14ac:dyDescent="0.25">
      <c r="A106" s="118"/>
      <c r="AL106" s="113"/>
      <c r="AR106" s="120"/>
      <c r="AS106" s="113"/>
      <c r="ET106" s="118"/>
    </row>
    <row r="107" spans="1:150" x14ac:dyDescent="0.25">
      <c r="AL107" s="113"/>
      <c r="AR107" s="120"/>
      <c r="AS107" s="113"/>
      <c r="ET107" s="118"/>
    </row>
    <row r="108" spans="1:150" x14ac:dyDescent="0.25">
      <c r="AL108" s="113"/>
      <c r="AR108" s="120"/>
      <c r="AS108" s="113"/>
    </row>
    <row r="109" spans="1:150" x14ac:dyDescent="0.25">
      <c r="AL109" s="113"/>
      <c r="AR109" s="120"/>
      <c r="AS109" s="113"/>
    </row>
    <row r="110" spans="1:150" x14ac:dyDescent="0.25">
      <c r="AL110" s="113"/>
      <c r="AR110" s="120"/>
      <c r="AS110" s="113"/>
    </row>
    <row r="111" spans="1:150" x14ac:dyDescent="0.25">
      <c r="AL111" s="113"/>
      <c r="AR111" s="120"/>
      <c r="AS111" s="113"/>
    </row>
    <row r="112" spans="1:150" x14ac:dyDescent="0.25">
      <c r="AL112" s="113"/>
      <c r="AR112" s="120"/>
      <c r="AS112" s="113"/>
    </row>
    <row r="113" spans="38:45" x14ac:dyDescent="0.25">
      <c r="AL113" s="113"/>
      <c r="AR113" s="120"/>
      <c r="AS113" s="113"/>
    </row>
    <row r="114" spans="38:45" x14ac:dyDescent="0.25">
      <c r="AL114" s="113"/>
      <c r="AR114" s="120"/>
      <c r="AS114" s="113"/>
    </row>
    <row r="115" spans="38:45" x14ac:dyDescent="0.25">
      <c r="AL115" s="113"/>
      <c r="AR115" s="120"/>
      <c r="AS115" s="113"/>
    </row>
    <row r="116" spans="38:45" x14ac:dyDescent="0.25">
      <c r="AL116" s="113"/>
      <c r="AR116" s="120"/>
      <c r="AS116" s="113"/>
    </row>
    <row r="117" spans="38:45" ht="15.75" thickBot="1" x14ac:dyDescent="0.3">
      <c r="AL117" s="113"/>
      <c r="AP117" s="121"/>
      <c r="AQ117" s="121"/>
      <c r="AR117" s="122"/>
      <c r="AS117" s="113"/>
    </row>
    <row r="118" spans="38:45" x14ac:dyDescent="0.25">
      <c r="AL118" s="113"/>
    </row>
  </sheetData>
  <sheetProtection sheet="1" objects="1" scenarios="1" selectLockedCells="1"/>
  <mergeCells count="32">
    <mergeCell ref="F9:G9"/>
    <mergeCell ref="H9:I9"/>
    <mergeCell ref="J9:K9"/>
    <mergeCell ref="B5:H5"/>
    <mergeCell ref="J7:K7"/>
    <mergeCell ref="F8:G8"/>
    <mergeCell ref="H8:I8"/>
    <mergeCell ref="J8:K8"/>
    <mergeCell ref="I43:J43"/>
    <mergeCell ref="I44:J44"/>
    <mergeCell ref="G47:G49"/>
    <mergeCell ref="H47:K49"/>
    <mergeCell ref="G51:G53"/>
    <mergeCell ref="H51:K53"/>
    <mergeCell ref="G57:K57"/>
    <mergeCell ref="G58:K58"/>
    <mergeCell ref="G59:I59"/>
    <mergeCell ref="J59:K59"/>
    <mergeCell ref="G60:I60"/>
    <mergeCell ref="J60:K60"/>
    <mergeCell ref="G62:H62"/>
    <mergeCell ref="I62:J62"/>
    <mergeCell ref="G63:H63"/>
    <mergeCell ref="I63:J63"/>
    <mergeCell ref="G64:H64"/>
    <mergeCell ref="I64:J64"/>
    <mergeCell ref="G65:H65"/>
    <mergeCell ref="I65:J65"/>
    <mergeCell ref="G66:H66"/>
    <mergeCell ref="I66:J66"/>
    <mergeCell ref="G67:H67"/>
    <mergeCell ref="I67:J67"/>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09464-4795-46F1-A334-407D5ACDB99C}">
  <sheetPr codeName="Sheet16"/>
  <dimension ref="A1:K114"/>
  <sheetViews>
    <sheetView showGridLines="0" showRowColHeaders="0" topLeftCell="A66" zoomScale="130" zoomScaleNormal="130" workbookViewId="0">
      <selection activeCell="E10" sqref="E10"/>
    </sheetView>
  </sheetViews>
  <sheetFormatPr defaultColWidth="9.140625" defaultRowHeight="15" x14ac:dyDescent="0.25"/>
  <cols>
    <col min="1" max="1" width="25.7109375" customWidth="1"/>
    <col min="2" max="2" width="5.7109375" customWidth="1"/>
    <col min="3" max="3" width="52.140625" customWidth="1"/>
    <col min="4" max="4" width="76" customWidth="1"/>
    <col min="5" max="5" width="45" customWidth="1"/>
    <col min="6" max="6" width="39.28515625" customWidth="1"/>
  </cols>
  <sheetData>
    <row r="1" spans="1:8" ht="2.25" customHeight="1" x14ac:dyDescent="0.25"/>
    <row r="2" spans="1:8" ht="65.099999999999994" customHeight="1" x14ac:dyDescent="0.25">
      <c r="A2" s="46"/>
      <c r="B2" s="144" t="s">
        <v>453</v>
      </c>
    </row>
    <row r="3" spans="1:8" ht="3" customHeight="1" x14ac:dyDescent="0.25">
      <c r="A3" s="46"/>
    </row>
    <row r="4" spans="1:8" ht="4.5" customHeight="1" x14ac:dyDescent="0.25">
      <c r="A4" s="123"/>
      <c r="B4" s="47"/>
      <c r="C4" s="47"/>
      <c r="D4" s="47"/>
      <c r="E4" s="47"/>
      <c r="F4" s="47"/>
      <c r="G4" s="47"/>
      <c r="H4" s="47"/>
    </row>
    <row r="5" spans="1:8" ht="90" customHeight="1" x14ac:dyDescent="0.25">
      <c r="A5" s="46"/>
      <c r="B5" s="259" t="s">
        <v>454</v>
      </c>
      <c r="C5" s="259"/>
      <c r="D5" s="259"/>
      <c r="E5" s="259"/>
      <c r="F5" s="259"/>
    </row>
    <row r="6" spans="1:8" ht="24.95" customHeight="1" x14ac:dyDescent="0.3">
      <c r="B6" s="48" t="s">
        <v>455</v>
      </c>
    </row>
    <row r="7" spans="1:8" ht="3" customHeight="1" x14ac:dyDescent="0.3">
      <c r="B7" s="49"/>
      <c r="C7" s="25"/>
      <c r="D7" s="25"/>
      <c r="E7" s="25"/>
      <c r="F7" s="25"/>
    </row>
    <row r="8" spans="1:8" x14ac:dyDescent="0.25">
      <c r="B8" s="168" t="s">
        <v>115</v>
      </c>
      <c r="C8" s="168" t="s">
        <v>116</v>
      </c>
      <c r="D8" s="168" t="s">
        <v>117</v>
      </c>
      <c r="E8" s="168" t="s">
        <v>25</v>
      </c>
      <c r="F8" s="168" t="s">
        <v>456</v>
      </c>
    </row>
    <row r="9" spans="1:8" ht="30" x14ac:dyDescent="0.25">
      <c r="B9" s="50">
        <v>1</v>
      </c>
      <c r="C9" s="58" t="s">
        <v>457</v>
      </c>
      <c r="D9" s="51" t="s">
        <v>458</v>
      </c>
      <c r="E9" s="29"/>
      <c r="F9" s="29"/>
    </row>
    <row r="10" spans="1:8" ht="30" customHeight="1" x14ac:dyDescent="0.25">
      <c r="B10" s="52">
        <v>2</v>
      </c>
      <c r="C10" s="59" t="s">
        <v>459</v>
      </c>
      <c r="D10" s="53" t="s">
        <v>460</v>
      </c>
      <c r="E10" s="108">
        <v>0</v>
      </c>
      <c r="F10" s="30"/>
    </row>
    <row r="11" spans="1:8" ht="30" x14ac:dyDescent="0.25">
      <c r="B11" s="50">
        <v>3</v>
      </c>
      <c r="C11" s="58" t="s">
        <v>461</v>
      </c>
      <c r="D11" s="51" t="s">
        <v>462</v>
      </c>
      <c r="E11" s="107">
        <v>0</v>
      </c>
      <c r="F11" s="29"/>
    </row>
    <row r="12" spans="1:8" ht="30" x14ac:dyDescent="0.25">
      <c r="B12" s="52">
        <v>4</v>
      </c>
      <c r="C12" s="59" t="s">
        <v>463</v>
      </c>
      <c r="D12" s="53" t="s">
        <v>464</v>
      </c>
      <c r="E12" s="108">
        <v>0</v>
      </c>
      <c r="F12" s="30"/>
    </row>
    <row r="13" spans="1:8" ht="30" x14ac:dyDescent="0.25">
      <c r="B13" s="50">
        <v>5</v>
      </c>
      <c r="C13" s="58" t="s">
        <v>465</v>
      </c>
      <c r="D13" s="51" t="s">
        <v>466</v>
      </c>
      <c r="E13" s="222">
        <v>0</v>
      </c>
      <c r="F13" s="29"/>
    </row>
    <row r="14" spans="1:8" ht="30" x14ac:dyDescent="0.25">
      <c r="B14" s="52">
        <v>6</v>
      </c>
      <c r="C14" s="59" t="s">
        <v>467</v>
      </c>
      <c r="D14" s="53" t="s">
        <v>468</v>
      </c>
      <c r="E14" s="223">
        <v>0</v>
      </c>
      <c r="F14" s="30"/>
    </row>
    <row r="15" spans="1:8" ht="30" customHeight="1" x14ac:dyDescent="0.25">
      <c r="B15" s="69">
        <v>7</v>
      </c>
      <c r="C15" s="71" t="s">
        <v>469</v>
      </c>
      <c r="D15" s="72" t="s">
        <v>470</v>
      </c>
      <c r="E15" s="224">
        <v>0</v>
      </c>
      <c r="F15" s="70"/>
    </row>
    <row r="17" spans="2:6" ht="17.25" x14ac:dyDescent="0.3">
      <c r="B17" s="48" t="s">
        <v>471</v>
      </c>
    </row>
    <row r="18" spans="2:6" ht="3" customHeight="1" x14ac:dyDescent="0.3">
      <c r="B18" s="49"/>
      <c r="C18" s="25"/>
      <c r="D18" s="25"/>
      <c r="E18" s="25"/>
      <c r="F18" s="25"/>
    </row>
    <row r="19" spans="2:6" x14ac:dyDescent="0.25">
      <c r="B19" s="168" t="s">
        <v>115</v>
      </c>
      <c r="C19" s="168" t="s">
        <v>116</v>
      </c>
      <c r="D19" s="168" t="s">
        <v>117</v>
      </c>
      <c r="E19" s="168" t="s">
        <v>25</v>
      </c>
      <c r="F19" s="168" t="s">
        <v>456</v>
      </c>
    </row>
    <row r="20" spans="2:6" ht="30" x14ac:dyDescent="0.25">
      <c r="B20" s="50">
        <v>1</v>
      </c>
      <c r="C20" s="58" t="s">
        <v>472</v>
      </c>
      <c r="D20" s="51" t="s">
        <v>458</v>
      </c>
      <c r="E20" s="29"/>
      <c r="F20" s="29"/>
    </row>
    <row r="21" spans="2:6" ht="30" x14ac:dyDescent="0.25">
      <c r="B21" s="52">
        <v>2</v>
      </c>
      <c r="C21" s="59" t="s">
        <v>459</v>
      </c>
      <c r="D21" s="53" t="s">
        <v>460</v>
      </c>
      <c r="E21" s="108">
        <v>0</v>
      </c>
      <c r="F21" s="30"/>
    </row>
    <row r="22" spans="2:6" ht="30" x14ac:dyDescent="0.25">
      <c r="B22" s="50">
        <v>3</v>
      </c>
      <c r="C22" s="58" t="s">
        <v>461</v>
      </c>
      <c r="D22" s="51" t="s">
        <v>462</v>
      </c>
      <c r="E22" s="107">
        <v>0</v>
      </c>
      <c r="F22" s="29"/>
    </row>
    <row r="23" spans="2:6" ht="45" customHeight="1" x14ac:dyDescent="0.25">
      <c r="B23" s="52">
        <v>4</v>
      </c>
      <c r="C23" s="59" t="s">
        <v>463</v>
      </c>
      <c r="D23" s="53" t="s">
        <v>464</v>
      </c>
      <c r="E23" s="108">
        <v>0</v>
      </c>
      <c r="F23" s="30"/>
    </row>
    <row r="24" spans="2:6" ht="30" x14ac:dyDescent="0.25">
      <c r="B24" s="50">
        <v>5</v>
      </c>
      <c r="C24" s="58" t="s">
        <v>465</v>
      </c>
      <c r="D24" s="51" t="s">
        <v>466</v>
      </c>
      <c r="E24" s="222">
        <v>0</v>
      </c>
      <c r="F24" s="29"/>
    </row>
    <row r="25" spans="2:6" ht="30" x14ac:dyDescent="0.25">
      <c r="B25" s="52">
        <v>6</v>
      </c>
      <c r="C25" s="59" t="s">
        <v>467</v>
      </c>
      <c r="D25" s="53" t="s">
        <v>468</v>
      </c>
      <c r="E25" s="223">
        <v>0</v>
      </c>
      <c r="F25" s="30"/>
    </row>
    <row r="26" spans="2:6" ht="30" customHeight="1" x14ac:dyDescent="0.25">
      <c r="B26" s="69">
        <v>7</v>
      </c>
      <c r="C26" s="71" t="s">
        <v>469</v>
      </c>
      <c r="D26" s="72" t="s">
        <v>470</v>
      </c>
      <c r="E26" s="224">
        <v>0</v>
      </c>
      <c r="F26" s="70"/>
    </row>
    <row r="28" spans="2:6" ht="17.25" x14ac:dyDescent="0.3">
      <c r="B28" s="48" t="s">
        <v>473</v>
      </c>
    </row>
    <row r="29" spans="2:6" ht="3" customHeight="1" x14ac:dyDescent="0.3">
      <c r="B29" s="49"/>
      <c r="C29" s="25"/>
      <c r="D29" s="25"/>
      <c r="E29" s="25"/>
      <c r="F29" s="25"/>
    </row>
    <row r="30" spans="2:6" x14ac:dyDescent="0.25">
      <c r="B30" s="168" t="s">
        <v>115</v>
      </c>
      <c r="C30" s="168" t="s">
        <v>116</v>
      </c>
      <c r="D30" s="168" t="s">
        <v>117</v>
      </c>
      <c r="E30" s="168" t="s">
        <v>25</v>
      </c>
      <c r="F30" s="168" t="s">
        <v>456</v>
      </c>
    </row>
    <row r="31" spans="2:6" ht="30" x14ac:dyDescent="0.25">
      <c r="B31" s="50">
        <v>1</v>
      </c>
      <c r="C31" s="58" t="s">
        <v>474</v>
      </c>
      <c r="D31" s="51" t="s">
        <v>458</v>
      </c>
      <c r="E31" s="29"/>
      <c r="F31" s="29"/>
    </row>
    <row r="32" spans="2:6" ht="30" x14ac:dyDescent="0.25">
      <c r="B32" s="52">
        <v>2</v>
      </c>
      <c r="C32" s="59" t="s">
        <v>459</v>
      </c>
      <c r="D32" s="53" t="s">
        <v>460</v>
      </c>
      <c r="E32" s="108">
        <v>0</v>
      </c>
      <c r="F32" s="30"/>
    </row>
    <row r="33" spans="2:11" ht="30" x14ac:dyDescent="0.25">
      <c r="B33" s="50">
        <v>3</v>
      </c>
      <c r="C33" s="58" t="s">
        <v>461</v>
      </c>
      <c r="D33" s="51" t="s">
        <v>462</v>
      </c>
      <c r="E33" s="107">
        <v>0</v>
      </c>
      <c r="F33" s="29"/>
    </row>
    <row r="34" spans="2:11" ht="45" customHeight="1" x14ac:dyDescent="0.25">
      <c r="B34" s="52">
        <v>4</v>
      </c>
      <c r="C34" s="59" t="s">
        <v>463</v>
      </c>
      <c r="D34" s="53" t="s">
        <v>464</v>
      </c>
      <c r="E34" s="108">
        <v>0</v>
      </c>
      <c r="F34" s="30"/>
    </row>
    <row r="35" spans="2:11" ht="30" x14ac:dyDescent="0.25">
      <c r="B35" s="50">
        <v>5</v>
      </c>
      <c r="C35" s="58" t="s">
        <v>465</v>
      </c>
      <c r="D35" s="51" t="s">
        <v>466</v>
      </c>
      <c r="E35" s="34">
        <v>0</v>
      </c>
      <c r="F35" s="29"/>
    </row>
    <row r="36" spans="2:11" ht="30" x14ac:dyDescent="0.25">
      <c r="B36" s="52">
        <v>6</v>
      </c>
      <c r="C36" s="59" t="s">
        <v>467</v>
      </c>
      <c r="D36" s="53" t="s">
        <v>468</v>
      </c>
      <c r="E36" s="33">
        <v>0</v>
      </c>
      <c r="F36" s="30"/>
    </row>
    <row r="37" spans="2:11" ht="30" customHeight="1" x14ac:dyDescent="0.25">
      <c r="B37" s="69">
        <v>7</v>
      </c>
      <c r="C37" s="71" t="s">
        <v>469</v>
      </c>
      <c r="D37" s="72" t="s">
        <v>470</v>
      </c>
      <c r="E37" s="112">
        <v>0</v>
      </c>
      <c r="F37" s="70"/>
    </row>
    <row r="39" spans="2:11" ht="17.25" x14ac:dyDescent="0.3">
      <c r="B39" s="48" t="s">
        <v>475</v>
      </c>
    </row>
    <row r="40" spans="2:11" ht="3" customHeight="1" x14ac:dyDescent="0.3">
      <c r="B40" s="49"/>
      <c r="C40" s="25"/>
      <c r="D40" s="25"/>
      <c r="E40" s="25"/>
      <c r="F40" s="25"/>
    </row>
    <row r="41" spans="2:11" x14ac:dyDescent="0.25">
      <c r="B41" s="168" t="s">
        <v>115</v>
      </c>
      <c r="C41" s="168" t="s">
        <v>116</v>
      </c>
      <c r="D41" s="168" t="s">
        <v>117</v>
      </c>
      <c r="E41" s="168" t="s">
        <v>25</v>
      </c>
      <c r="F41" s="168" t="s">
        <v>456</v>
      </c>
    </row>
    <row r="42" spans="2:11" ht="30" x14ac:dyDescent="0.25">
      <c r="B42" s="50">
        <v>1</v>
      </c>
      <c r="C42" s="58" t="s">
        <v>476</v>
      </c>
      <c r="D42" s="51" t="s">
        <v>458</v>
      </c>
      <c r="E42" s="29"/>
      <c r="F42" s="29"/>
    </row>
    <row r="43" spans="2:11" ht="30" x14ac:dyDescent="0.25">
      <c r="B43" s="52">
        <v>2</v>
      </c>
      <c r="C43" s="59" t="s">
        <v>459</v>
      </c>
      <c r="D43" s="53" t="s">
        <v>460</v>
      </c>
      <c r="E43" s="108">
        <v>0</v>
      </c>
      <c r="F43" s="30"/>
    </row>
    <row r="44" spans="2:11" ht="30" x14ac:dyDescent="0.25">
      <c r="B44" s="50">
        <v>3</v>
      </c>
      <c r="C44" s="58" t="s">
        <v>461</v>
      </c>
      <c r="D44" s="51" t="s">
        <v>462</v>
      </c>
      <c r="E44" s="107">
        <v>0</v>
      </c>
      <c r="F44" s="29"/>
    </row>
    <row r="45" spans="2:11" ht="45" customHeight="1" x14ac:dyDescent="0.25">
      <c r="B45" s="52">
        <v>4</v>
      </c>
      <c r="C45" s="59" t="s">
        <v>463</v>
      </c>
      <c r="D45" s="53" t="s">
        <v>464</v>
      </c>
      <c r="E45" s="108">
        <v>0</v>
      </c>
      <c r="F45" s="30"/>
    </row>
    <row r="46" spans="2:11" ht="30" x14ac:dyDescent="0.25">
      <c r="B46" s="50">
        <v>5</v>
      </c>
      <c r="C46" s="58" t="s">
        <v>465</v>
      </c>
      <c r="D46" s="51" t="s">
        <v>466</v>
      </c>
      <c r="E46" s="34">
        <v>0</v>
      </c>
      <c r="F46" s="29"/>
      <c r="K46" s="124"/>
    </row>
    <row r="47" spans="2:11" ht="30" x14ac:dyDescent="0.25">
      <c r="B47" s="52">
        <v>6</v>
      </c>
      <c r="C47" s="59" t="s">
        <v>467</v>
      </c>
      <c r="D47" s="53" t="s">
        <v>468</v>
      </c>
      <c r="E47" s="33">
        <v>0</v>
      </c>
      <c r="F47" s="30"/>
    </row>
    <row r="48" spans="2:11" ht="30" customHeight="1" x14ac:dyDescent="0.25">
      <c r="B48" s="69">
        <v>7</v>
      </c>
      <c r="C48" s="71" t="s">
        <v>469</v>
      </c>
      <c r="D48" s="72" t="s">
        <v>470</v>
      </c>
      <c r="E48" s="112">
        <v>0</v>
      </c>
      <c r="F48" s="70"/>
    </row>
    <row r="50" spans="2:6" ht="17.25" x14ac:dyDescent="0.3">
      <c r="B50" s="48" t="s">
        <v>477</v>
      </c>
    </row>
    <row r="51" spans="2:6" ht="3" customHeight="1" x14ac:dyDescent="0.3">
      <c r="B51" s="49"/>
      <c r="C51" s="25"/>
      <c r="D51" s="25"/>
      <c r="E51" s="25"/>
      <c r="F51" s="25"/>
    </row>
    <row r="52" spans="2:6" x14ac:dyDescent="0.25">
      <c r="B52" s="168" t="s">
        <v>115</v>
      </c>
      <c r="C52" s="168" t="s">
        <v>116</v>
      </c>
      <c r="D52" s="168" t="s">
        <v>117</v>
      </c>
      <c r="E52" s="168" t="s">
        <v>25</v>
      </c>
      <c r="F52" s="168" t="s">
        <v>456</v>
      </c>
    </row>
    <row r="53" spans="2:6" ht="30" x14ac:dyDescent="0.25">
      <c r="B53" s="50">
        <v>1</v>
      </c>
      <c r="C53" s="58" t="s">
        <v>478</v>
      </c>
      <c r="D53" s="51" t="s">
        <v>458</v>
      </c>
      <c r="E53" s="29"/>
      <c r="F53" s="29"/>
    </row>
    <row r="54" spans="2:6" ht="30" x14ac:dyDescent="0.25">
      <c r="B54" s="52">
        <v>2</v>
      </c>
      <c r="C54" s="59" t="s">
        <v>459</v>
      </c>
      <c r="D54" s="53" t="s">
        <v>460</v>
      </c>
      <c r="E54" s="108">
        <v>0</v>
      </c>
      <c r="F54" s="30"/>
    </row>
    <row r="55" spans="2:6" ht="30" x14ac:dyDescent="0.25">
      <c r="B55" s="50">
        <v>3</v>
      </c>
      <c r="C55" s="58" t="s">
        <v>461</v>
      </c>
      <c r="D55" s="51" t="s">
        <v>462</v>
      </c>
      <c r="E55" s="107">
        <v>0</v>
      </c>
      <c r="F55" s="29"/>
    </row>
    <row r="56" spans="2:6" ht="45" customHeight="1" x14ac:dyDescent="0.25">
      <c r="B56" s="52">
        <v>4</v>
      </c>
      <c r="C56" s="59" t="s">
        <v>463</v>
      </c>
      <c r="D56" s="53" t="s">
        <v>464</v>
      </c>
      <c r="E56" s="108">
        <v>0</v>
      </c>
      <c r="F56" s="30"/>
    </row>
    <row r="57" spans="2:6" ht="30" x14ac:dyDescent="0.25">
      <c r="B57" s="50">
        <v>5</v>
      </c>
      <c r="C57" s="58" t="s">
        <v>465</v>
      </c>
      <c r="D57" s="51" t="s">
        <v>466</v>
      </c>
      <c r="E57" s="34">
        <v>0</v>
      </c>
      <c r="F57" s="29"/>
    </row>
    <row r="58" spans="2:6" ht="30" x14ac:dyDescent="0.25">
      <c r="B58" s="52">
        <v>6</v>
      </c>
      <c r="C58" s="59" t="s">
        <v>467</v>
      </c>
      <c r="D58" s="53" t="s">
        <v>468</v>
      </c>
      <c r="E58" s="33">
        <v>0</v>
      </c>
      <c r="F58" s="30"/>
    </row>
    <row r="59" spans="2:6" ht="30" customHeight="1" x14ac:dyDescent="0.25">
      <c r="B59" s="69">
        <v>7</v>
      </c>
      <c r="C59" s="71" t="s">
        <v>469</v>
      </c>
      <c r="D59" s="72" t="s">
        <v>470</v>
      </c>
      <c r="E59" s="112">
        <v>0</v>
      </c>
      <c r="F59" s="70"/>
    </row>
    <row r="61" spans="2:6" ht="17.25" x14ac:dyDescent="0.3">
      <c r="B61" s="48" t="s">
        <v>479</v>
      </c>
    </row>
    <row r="62" spans="2:6" ht="3" customHeight="1" x14ac:dyDescent="0.3">
      <c r="B62" s="49"/>
      <c r="C62" s="25"/>
      <c r="D62" s="25"/>
      <c r="E62" s="25"/>
      <c r="F62" s="25"/>
    </row>
    <row r="63" spans="2:6" x14ac:dyDescent="0.25">
      <c r="B63" s="168" t="s">
        <v>115</v>
      </c>
      <c r="C63" s="168" t="s">
        <v>116</v>
      </c>
      <c r="D63" s="168" t="s">
        <v>117</v>
      </c>
      <c r="E63" s="168" t="s">
        <v>25</v>
      </c>
      <c r="F63" s="168" t="s">
        <v>456</v>
      </c>
    </row>
    <row r="64" spans="2:6" ht="30" x14ac:dyDescent="0.25">
      <c r="B64" s="50">
        <v>1</v>
      </c>
      <c r="C64" s="58" t="s">
        <v>480</v>
      </c>
      <c r="D64" s="51" t="s">
        <v>458</v>
      </c>
      <c r="E64" s="29"/>
      <c r="F64" s="29"/>
    </row>
    <row r="65" spans="2:6" ht="30" x14ac:dyDescent="0.25">
      <c r="B65" s="52">
        <v>2</v>
      </c>
      <c r="C65" s="59" t="s">
        <v>459</v>
      </c>
      <c r="D65" s="53" t="s">
        <v>460</v>
      </c>
      <c r="E65" s="108">
        <v>0</v>
      </c>
      <c r="F65" s="30"/>
    </row>
    <row r="66" spans="2:6" ht="30" x14ac:dyDescent="0.25">
      <c r="B66" s="50">
        <v>3</v>
      </c>
      <c r="C66" s="58" t="s">
        <v>461</v>
      </c>
      <c r="D66" s="51" t="s">
        <v>462</v>
      </c>
      <c r="E66" s="107">
        <v>0</v>
      </c>
      <c r="F66" s="29"/>
    </row>
    <row r="67" spans="2:6" ht="45" customHeight="1" x14ac:dyDescent="0.25">
      <c r="B67" s="52">
        <v>4</v>
      </c>
      <c r="C67" s="59" t="s">
        <v>463</v>
      </c>
      <c r="D67" s="53" t="s">
        <v>464</v>
      </c>
      <c r="E67" s="108">
        <v>0</v>
      </c>
      <c r="F67" s="30"/>
    </row>
    <row r="68" spans="2:6" ht="30" x14ac:dyDescent="0.25">
      <c r="B68" s="50">
        <v>5</v>
      </c>
      <c r="C68" s="58" t="s">
        <v>465</v>
      </c>
      <c r="D68" s="51" t="s">
        <v>466</v>
      </c>
      <c r="E68" s="34">
        <v>0</v>
      </c>
      <c r="F68" s="29"/>
    </row>
    <row r="69" spans="2:6" ht="30" x14ac:dyDescent="0.25">
      <c r="B69" s="52">
        <v>6</v>
      </c>
      <c r="C69" s="59" t="s">
        <v>467</v>
      </c>
      <c r="D69" s="53" t="s">
        <v>468</v>
      </c>
      <c r="E69" s="33">
        <v>0</v>
      </c>
      <c r="F69" s="30"/>
    </row>
    <row r="70" spans="2:6" ht="30" customHeight="1" x14ac:dyDescent="0.25">
      <c r="B70" s="69">
        <v>7</v>
      </c>
      <c r="C70" s="71" t="s">
        <v>469</v>
      </c>
      <c r="D70" s="72" t="s">
        <v>470</v>
      </c>
      <c r="E70" s="112">
        <v>0</v>
      </c>
      <c r="F70" s="70"/>
    </row>
    <row r="72" spans="2:6" ht="17.25" x14ac:dyDescent="0.3">
      <c r="B72" s="48" t="s">
        <v>481</v>
      </c>
    </row>
    <row r="73" spans="2:6" ht="3" customHeight="1" x14ac:dyDescent="0.3">
      <c r="B73" s="49"/>
      <c r="C73" s="25"/>
      <c r="D73" s="25"/>
      <c r="E73" s="25"/>
      <c r="F73" s="25"/>
    </row>
    <row r="74" spans="2:6" x14ac:dyDescent="0.25">
      <c r="B74" s="168" t="s">
        <v>115</v>
      </c>
      <c r="C74" s="168" t="s">
        <v>116</v>
      </c>
      <c r="D74" s="168" t="s">
        <v>117</v>
      </c>
      <c r="E74" s="168" t="s">
        <v>25</v>
      </c>
      <c r="F74" s="168" t="s">
        <v>456</v>
      </c>
    </row>
    <row r="75" spans="2:6" ht="30" customHeight="1" x14ac:dyDescent="0.25">
      <c r="B75" s="50">
        <v>1</v>
      </c>
      <c r="C75" s="58" t="s">
        <v>482</v>
      </c>
      <c r="D75" s="51" t="s">
        <v>458</v>
      </c>
      <c r="E75" s="29"/>
      <c r="F75" s="29"/>
    </row>
    <row r="76" spans="2:6" ht="30" x14ac:dyDescent="0.25">
      <c r="B76" s="52">
        <v>2</v>
      </c>
      <c r="C76" s="59" t="s">
        <v>459</v>
      </c>
      <c r="D76" s="53" t="s">
        <v>460</v>
      </c>
      <c r="E76" s="108">
        <v>0</v>
      </c>
      <c r="F76" s="30"/>
    </row>
    <row r="77" spans="2:6" ht="30" x14ac:dyDescent="0.25">
      <c r="B77" s="50">
        <v>3</v>
      </c>
      <c r="C77" s="58" t="s">
        <v>461</v>
      </c>
      <c r="D77" s="51" t="s">
        <v>462</v>
      </c>
      <c r="E77" s="107">
        <v>0</v>
      </c>
      <c r="F77" s="29"/>
    </row>
    <row r="78" spans="2:6" ht="45" customHeight="1" x14ac:dyDescent="0.25">
      <c r="B78" s="52">
        <v>4</v>
      </c>
      <c r="C78" s="59" t="s">
        <v>463</v>
      </c>
      <c r="D78" s="53" t="s">
        <v>464</v>
      </c>
      <c r="E78" s="108">
        <v>0</v>
      </c>
      <c r="F78" s="30"/>
    </row>
    <row r="79" spans="2:6" ht="30" x14ac:dyDescent="0.25">
      <c r="B79" s="50">
        <v>5</v>
      </c>
      <c r="C79" s="58" t="s">
        <v>465</v>
      </c>
      <c r="D79" s="51" t="s">
        <v>466</v>
      </c>
      <c r="E79" s="34">
        <v>0</v>
      </c>
      <c r="F79" s="29"/>
    </row>
    <row r="80" spans="2:6" ht="30" x14ac:dyDescent="0.25">
      <c r="B80" s="52">
        <v>6</v>
      </c>
      <c r="C80" s="59" t="s">
        <v>467</v>
      </c>
      <c r="D80" s="53" t="s">
        <v>468</v>
      </c>
      <c r="E80" s="33">
        <v>0</v>
      </c>
      <c r="F80" s="30"/>
    </row>
    <row r="81" spans="2:6" ht="30" customHeight="1" x14ac:dyDescent="0.25">
      <c r="B81" s="69">
        <v>7</v>
      </c>
      <c r="C81" s="71" t="s">
        <v>469</v>
      </c>
      <c r="D81" s="72" t="s">
        <v>470</v>
      </c>
      <c r="E81" s="112">
        <v>0</v>
      </c>
      <c r="F81" s="70"/>
    </row>
    <row r="83" spans="2:6" ht="17.25" x14ac:dyDescent="0.3">
      <c r="B83" s="48" t="s">
        <v>483</v>
      </c>
    </row>
    <row r="84" spans="2:6" ht="3" customHeight="1" x14ac:dyDescent="0.3">
      <c r="B84" s="49"/>
      <c r="C84" s="25"/>
      <c r="D84" s="25"/>
      <c r="E84" s="25"/>
      <c r="F84" s="25"/>
    </row>
    <row r="85" spans="2:6" x14ac:dyDescent="0.25">
      <c r="B85" s="168" t="s">
        <v>115</v>
      </c>
      <c r="C85" s="168" t="s">
        <v>116</v>
      </c>
      <c r="D85" s="168" t="s">
        <v>117</v>
      </c>
      <c r="E85" s="168" t="s">
        <v>25</v>
      </c>
      <c r="F85" s="168" t="s">
        <v>456</v>
      </c>
    </row>
    <row r="86" spans="2:6" ht="30" customHeight="1" x14ac:dyDescent="0.25">
      <c r="B86" s="50">
        <v>1</v>
      </c>
      <c r="C86" s="60" t="s">
        <v>484</v>
      </c>
      <c r="D86" s="51" t="s">
        <v>458</v>
      </c>
      <c r="E86" s="29"/>
      <c r="F86" s="29"/>
    </row>
    <row r="87" spans="2:6" ht="30" x14ac:dyDescent="0.25">
      <c r="B87" s="52">
        <v>2</v>
      </c>
      <c r="C87" s="59" t="s">
        <v>459</v>
      </c>
      <c r="D87" s="53" t="s">
        <v>460</v>
      </c>
      <c r="E87" s="108">
        <v>0</v>
      </c>
      <c r="F87" s="30"/>
    </row>
    <row r="88" spans="2:6" ht="30" x14ac:dyDescent="0.25">
      <c r="B88" s="50">
        <v>3</v>
      </c>
      <c r="C88" s="58" t="s">
        <v>461</v>
      </c>
      <c r="D88" s="51" t="s">
        <v>462</v>
      </c>
      <c r="E88" s="107">
        <v>0</v>
      </c>
      <c r="F88" s="29"/>
    </row>
    <row r="89" spans="2:6" ht="45" customHeight="1" x14ac:dyDescent="0.25">
      <c r="B89" s="52">
        <v>4</v>
      </c>
      <c r="C89" s="59" t="s">
        <v>463</v>
      </c>
      <c r="D89" s="53" t="s">
        <v>464</v>
      </c>
      <c r="E89" s="108">
        <v>0</v>
      </c>
      <c r="F89" s="30"/>
    </row>
    <row r="90" spans="2:6" ht="30" x14ac:dyDescent="0.25">
      <c r="B90" s="50">
        <v>5</v>
      </c>
      <c r="C90" s="58" t="s">
        <v>465</v>
      </c>
      <c r="D90" s="51" t="s">
        <v>466</v>
      </c>
      <c r="E90" s="34">
        <v>0</v>
      </c>
      <c r="F90" s="29"/>
    </row>
    <row r="91" spans="2:6" ht="30" x14ac:dyDescent="0.25">
      <c r="B91" s="52">
        <v>6</v>
      </c>
      <c r="C91" s="59" t="s">
        <v>467</v>
      </c>
      <c r="D91" s="53" t="s">
        <v>468</v>
      </c>
      <c r="E91" s="33">
        <v>0</v>
      </c>
      <c r="F91" s="30"/>
    </row>
    <row r="92" spans="2:6" ht="30" customHeight="1" x14ac:dyDescent="0.25">
      <c r="B92" s="69">
        <v>7</v>
      </c>
      <c r="C92" s="71" t="s">
        <v>469</v>
      </c>
      <c r="D92" s="72" t="s">
        <v>470</v>
      </c>
      <c r="E92" s="112">
        <v>0</v>
      </c>
      <c r="F92" s="70"/>
    </row>
    <row r="94" spans="2:6" ht="17.25" x14ac:dyDescent="0.3">
      <c r="B94" s="48" t="s">
        <v>485</v>
      </c>
    </row>
    <row r="95" spans="2:6" ht="3" customHeight="1" x14ac:dyDescent="0.3">
      <c r="B95" s="49"/>
      <c r="C95" s="25"/>
      <c r="D95" s="25"/>
      <c r="E95" s="25"/>
      <c r="F95" s="25"/>
    </row>
    <row r="96" spans="2:6" x14ac:dyDescent="0.25">
      <c r="B96" s="168" t="s">
        <v>115</v>
      </c>
      <c r="C96" s="168" t="s">
        <v>116</v>
      </c>
      <c r="D96" s="168" t="s">
        <v>117</v>
      </c>
      <c r="E96" s="168" t="s">
        <v>25</v>
      </c>
      <c r="F96" s="168" t="s">
        <v>456</v>
      </c>
    </row>
    <row r="97" spans="2:6" ht="30" x14ac:dyDescent="0.25">
      <c r="B97" s="50">
        <v>1</v>
      </c>
      <c r="C97" s="58" t="s">
        <v>486</v>
      </c>
      <c r="D97" s="51" t="s">
        <v>458</v>
      </c>
      <c r="E97" s="29"/>
      <c r="F97" s="29"/>
    </row>
    <row r="98" spans="2:6" ht="30" x14ac:dyDescent="0.25">
      <c r="B98" s="52">
        <v>2</v>
      </c>
      <c r="C98" s="59" t="s">
        <v>459</v>
      </c>
      <c r="D98" s="53" t="s">
        <v>460</v>
      </c>
      <c r="E98" s="108">
        <v>0</v>
      </c>
      <c r="F98" s="30"/>
    </row>
    <row r="99" spans="2:6" ht="30" x14ac:dyDescent="0.25">
      <c r="B99" s="50">
        <v>3</v>
      </c>
      <c r="C99" s="58" t="s">
        <v>461</v>
      </c>
      <c r="D99" s="51" t="s">
        <v>462</v>
      </c>
      <c r="E99" s="107">
        <v>0</v>
      </c>
      <c r="F99" s="29"/>
    </row>
    <row r="100" spans="2:6" ht="45" customHeight="1" x14ac:dyDescent="0.25">
      <c r="B100" s="52">
        <v>4</v>
      </c>
      <c r="C100" s="59" t="s">
        <v>463</v>
      </c>
      <c r="D100" s="53" t="s">
        <v>464</v>
      </c>
      <c r="E100" s="108">
        <v>0</v>
      </c>
      <c r="F100" s="30"/>
    </row>
    <row r="101" spans="2:6" ht="30" x14ac:dyDescent="0.25">
      <c r="B101" s="50">
        <v>5</v>
      </c>
      <c r="C101" s="58" t="s">
        <v>465</v>
      </c>
      <c r="D101" s="51" t="s">
        <v>466</v>
      </c>
      <c r="E101" s="34">
        <v>0</v>
      </c>
      <c r="F101" s="29"/>
    </row>
    <row r="102" spans="2:6" ht="30" x14ac:dyDescent="0.25">
      <c r="B102" s="52">
        <v>6</v>
      </c>
      <c r="C102" s="59" t="s">
        <v>467</v>
      </c>
      <c r="D102" s="53" t="s">
        <v>468</v>
      </c>
      <c r="E102" s="33">
        <v>0</v>
      </c>
      <c r="F102" s="30"/>
    </row>
    <row r="103" spans="2:6" ht="30" customHeight="1" x14ac:dyDescent="0.25">
      <c r="B103" s="69">
        <v>7</v>
      </c>
      <c r="C103" s="71" t="s">
        <v>469</v>
      </c>
      <c r="D103" s="72" t="s">
        <v>470</v>
      </c>
      <c r="E103" s="112">
        <v>0</v>
      </c>
      <c r="F103" s="70"/>
    </row>
    <row r="105" spans="2:6" ht="17.25" x14ac:dyDescent="0.3">
      <c r="B105" s="48" t="s">
        <v>487</v>
      </c>
    </row>
    <row r="106" spans="2:6" ht="3" customHeight="1" x14ac:dyDescent="0.3">
      <c r="B106" s="49"/>
      <c r="C106" s="25"/>
      <c r="D106" s="25"/>
      <c r="E106" s="25"/>
      <c r="F106" s="25"/>
    </row>
    <row r="107" spans="2:6" x14ac:dyDescent="0.25">
      <c r="B107" s="168" t="s">
        <v>115</v>
      </c>
      <c r="C107" s="168" t="s">
        <v>116</v>
      </c>
      <c r="D107" s="168" t="s">
        <v>117</v>
      </c>
      <c r="E107" s="168" t="s">
        <v>25</v>
      </c>
      <c r="F107" s="168" t="s">
        <v>456</v>
      </c>
    </row>
    <row r="108" spans="2:6" ht="30" x14ac:dyDescent="0.25">
      <c r="B108" s="50">
        <v>1</v>
      </c>
      <c r="C108" s="58" t="s">
        <v>488</v>
      </c>
      <c r="D108" s="51" t="s">
        <v>458</v>
      </c>
      <c r="E108" s="29"/>
      <c r="F108" s="29"/>
    </row>
    <row r="109" spans="2:6" ht="30" x14ac:dyDescent="0.25">
      <c r="B109" s="52">
        <v>2</v>
      </c>
      <c r="C109" s="59" t="s">
        <v>459</v>
      </c>
      <c r="D109" s="53" t="s">
        <v>460</v>
      </c>
      <c r="E109" s="108">
        <v>0</v>
      </c>
      <c r="F109" s="30"/>
    </row>
    <row r="110" spans="2:6" ht="30" x14ac:dyDescent="0.25">
      <c r="B110" s="50">
        <v>3</v>
      </c>
      <c r="C110" s="58" t="s">
        <v>461</v>
      </c>
      <c r="D110" s="51" t="s">
        <v>462</v>
      </c>
      <c r="E110" s="107">
        <v>0</v>
      </c>
      <c r="F110" s="29"/>
    </row>
    <row r="111" spans="2:6" ht="45" customHeight="1" x14ac:dyDescent="0.25">
      <c r="B111" s="52">
        <v>4</v>
      </c>
      <c r="C111" s="59" t="s">
        <v>463</v>
      </c>
      <c r="D111" s="53" t="s">
        <v>464</v>
      </c>
      <c r="E111" s="108">
        <v>0</v>
      </c>
      <c r="F111" s="30"/>
    </row>
    <row r="112" spans="2:6" ht="30" x14ac:dyDescent="0.25">
      <c r="B112" s="50">
        <v>5</v>
      </c>
      <c r="C112" s="58" t="s">
        <v>465</v>
      </c>
      <c r="D112" s="51" t="s">
        <v>466</v>
      </c>
      <c r="E112" s="34">
        <v>0</v>
      </c>
      <c r="F112" s="29"/>
    </row>
    <row r="113" spans="2:6" ht="30" x14ac:dyDescent="0.25">
      <c r="B113" s="52">
        <v>6</v>
      </c>
      <c r="C113" s="59" t="s">
        <v>467</v>
      </c>
      <c r="D113" s="53" t="s">
        <v>468</v>
      </c>
      <c r="E113" s="33">
        <v>0</v>
      </c>
      <c r="F113" s="30"/>
    </row>
    <row r="114" spans="2:6" ht="30" customHeight="1" x14ac:dyDescent="0.25">
      <c r="B114" s="69">
        <v>7</v>
      </c>
      <c r="C114" s="71" t="s">
        <v>469</v>
      </c>
      <c r="D114" s="72" t="s">
        <v>470</v>
      </c>
      <c r="E114" s="112">
        <v>0</v>
      </c>
      <c r="F114" s="70"/>
    </row>
  </sheetData>
  <sheetProtection sheet="1" objects="1" scenarios="1" selectLockedCells="1"/>
  <mergeCells count="1">
    <mergeCell ref="B5:F5"/>
  </mergeCells>
  <conditionalFormatting sqref="E114 E112 E110 E103 E101 E99 E92 E90 E88 E81 E79 E77 E70 E68 E66 E59 E57 E55 E48 E46 E44 E37 E35 E33">
    <cfRule type="cellIs" dxfId="5" priority="6" operator="equal">
      <formula>0</formula>
    </cfRule>
  </conditionalFormatting>
  <conditionalFormatting sqref="E32 E34 E36 E43 E45 E47 E54 E56 E58 E65 E67 E69 E76 E78 E80 E87 E89 E91 E98 E100 E102 E109 E111 E113">
    <cfRule type="cellIs" dxfId="4" priority="5" operator="equal">
      <formula>0</formula>
    </cfRule>
  </conditionalFormatting>
  <conditionalFormatting sqref="E15 E13 E11">
    <cfRule type="cellIs" dxfId="3" priority="4" operator="equal">
      <formula>0</formula>
    </cfRule>
  </conditionalFormatting>
  <conditionalFormatting sqref="E10 E12 E14">
    <cfRule type="cellIs" dxfId="2" priority="3" operator="equal">
      <formula>0</formula>
    </cfRule>
  </conditionalFormatting>
  <conditionalFormatting sqref="E26 E24 E22">
    <cfRule type="cellIs" dxfId="1" priority="2" operator="equal">
      <formula>0</formula>
    </cfRule>
  </conditionalFormatting>
  <conditionalFormatting sqref="E21 E23 E25">
    <cfRule type="cellIs" dxfId="0" priority="1" operator="equal">
      <formula>0</formula>
    </cfRule>
  </conditionalFormatting>
  <dataValidations count="2">
    <dataValidation type="whole" allowBlank="1" showInputMessage="1" showErrorMessage="1" errorTitle="Invalid entry" error="Values input into this cell must be a whole number that is more than 0 (e.g. 3). _x000a__x000a_Entries other than this will cause the tool not to function correctly." sqref="E10:E12 E32:E34 E65:E67 E87:E89 E98:E100 E109:E111 E76:E78 E54:E56 E43:E45 E21:E23" xr:uid="{B3BD7E2F-6C10-4F1D-8BFA-9C531FADC889}">
      <formula1>1</formula1>
      <formula2>9.99999999999999E+36</formula2>
    </dataValidation>
    <dataValidation type="decimal" allowBlank="1" showInputMessage="1" showErrorMessage="1" errorTitle="Invalid entry" error="Values input into this cell must be at least 1%. _x000a__x000a_Entries other than this will cause the tool not to function correctly." sqref="E13:E15 E35:E37 E46:E48 E57:E59 E68:E70 E79:E81 E90:E92 E101:E103 E112:E114 E24:E26" xr:uid="{870706FA-DBE0-47AB-B94C-B1470B480A28}">
      <formula1>0.01</formula1>
      <formula2>9.99999999999999E+36</formula2>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A502D-B452-4B63-BD75-9B17EB990E5D}">
  <sheetPr codeName="Sheet17"/>
  <dimension ref="A1:M59"/>
  <sheetViews>
    <sheetView showGridLines="0" showRowColHeaders="0" topLeftCell="A14" zoomScale="120" zoomScaleNormal="120" workbookViewId="0">
      <selection activeCell="B19" sqref="B19"/>
    </sheetView>
  </sheetViews>
  <sheetFormatPr defaultColWidth="9.140625" defaultRowHeight="15" x14ac:dyDescent="0.25"/>
  <cols>
    <col min="1" max="1" width="25.7109375" customWidth="1"/>
    <col min="2" max="7" width="26.7109375" customWidth="1"/>
    <col min="8" max="8" width="5.85546875" customWidth="1"/>
    <col min="9" max="9" width="27" customWidth="1"/>
    <col min="10" max="10" width="20.42578125" customWidth="1"/>
    <col min="11" max="11" width="26.140625" hidden="1" customWidth="1"/>
    <col min="12" max="12" width="20.42578125" customWidth="1"/>
    <col min="13" max="13" width="20.42578125" hidden="1" customWidth="1"/>
    <col min="14" max="14" width="20.42578125" customWidth="1"/>
    <col min="15" max="15" width="17.42578125" customWidth="1"/>
  </cols>
  <sheetData>
    <row r="1" spans="1:11" ht="2.25" customHeight="1" x14ac:dyDescent="0.25">
      <c r="B1" s="46"/>
    </row>
    <row r="2" spans="1:11" ht="65.099999999999994" customHeight="1" x14ac:dyDescent="0.25">
      <c r="B2" s="144" t="s">
        <v>489</v>
      </c>
    </row>
    <row r="3" spans="1:11" ht="3" customHeight="1" x14ac:dyDescent="0.25">
      <c r="B3" s="46"/>
    </row>
    <row r="4" spans="1:11" ht="4.5" customHeight="1" x14ac:dyDescent="0.25">
      <c r="A4" s="25"/>
      <c r="B4" s="140"/>
      <c r="C4" s="47"/>
      <c r="D4" s="47"/>
      <c r="E4" s="47"/>
      <c r="F4" s="47"/>
      <c r="G4" s="47"/>
      <c r="H4" s="47"/>
      <c r="I4" s="47"/>
    </row>
    <row r="5" spans="1:11" ht="75" customHeight="1" x14ac:dyDescent="0.25">
      <c r="B5" s="259" t="s">
        <v>490</v>
      </c>
      <c r="C5" s="259"/>
      <c r="D5" s="259"/>
      <c r="E5" s="259"/>
      <c r="F5" s="259"/>
      <c r="G5" s="259"/>
    </row>
    <row r="6" spans="1:11" ht="24.95" customHeight="1" x14ac:dyDescent="0.3">
      <c r="B6" s="48" t="s">
        <v>450</v>
      </c>
    </row>
    <row r="7" spans="1:11" ht="3" customHeight="1" x14ac:dyDescent="0.3">
      <c r="B7" s="49"/>
      <c r="C7" s="25"/>
      <c r="D7" s="25"/>
      <c r="E7" s="25"/>
      <c r="F7" s="25"/>
    </row>
    <row r="8" spans="1:11" ht="15" customHeight="1" x14ac:dyDescent="0.25">
      <c r="B8" s="166" t="s">
        <v>281</v>
      </c>
      <c r="C8" s="166" t="s">
        <v>282</v>
      </c>
      <c r="D8" s="166" t="s">
        <v>283</v>
      </c>
      <c r="E8" s="166" t="s">
        <v>491</v>
      </c>
      <c r="F8" s="165" t="s">
        <v>492</v>
      </c>
      <c r="K8">
        <v>0</v>
      </c>
    </row>
    <row r="9" spans="1:11" ht="15" customHeight="1" x14ac:dyDescent="0.25">
      <c r="B9" s="86">
        <f>Scope!C9</f>
        <v>0</v>
      </c>
      <c r="C9" s="253">
        <f>Scope!C20</f>
        <v>0</v>
      </c>
      <c r="D9" s="86" t="str">
        <f>IF(Scope!C18="Please select","N/A",Scope!C18)</f>
        <v>N/A</v>
      </c>
      <c r="E9" s="88" t="str">
        <f>Communicate!B9</f>
        <v>N/A</v>
      </c>
      <c r="F9" s="88" t="str">
        <f>IFERROR(E9-C59,"N/A")</f>
        <v>N/A</v>
      </c>
      <c r="G9" s="139"/>
    </row>
    <row r="10" spans="1:11" ht="3" customHeight="1" x14ac:dyDescent="0.25">
      <c r="B10" s="125"/>
      <c r="C10" s="125"/>
      <c r="D10" s="125"/>
      <c r="E10" s="126"/>
      <c r="F10" s="126"/>
      <c r="G10" s="139"/>
    </row>
    <row r="11" spans="1:11" ht="15" customHeight="1" x14ac:dyDescent="0.3">
      <c r="B11" s="168" t="s">
        <v>493</v>
      </c>
      <c r="C11" s="168" t="s">
        <v>494</v>
      </c>
      <c r="D11" s="168" t="s">
        <v>495</v>
      </c>
      <c r="E11" s="164" t="s">
        <v>496</v>
      </c>
      <c r="G11" s="139"/>
      <c r="I11" s="141"/>
    </row>
    <row r="12" spans="1:11" ht="15" customHeight="1" x14ac:dyDescent="0.25">
      <c r="B12" s="86">
        <f>IFERROR(AVERAGE(F19:F28),0)</f>
        <v>0</v>
      </c>
      <c r="C12" s="88">
        <f>F44</f>
        <v>0</v>
      </c>
      <c r="D12" s="88">
        <f>C59</f>
        <v>0</v>
      </c>
      <c r="E12" s="87" t="str">
        <f>IF(D12&gt;C12,"Saving exceeds cost","Cost exceeds savings")</f>
        <v>Cost exceeds savings</v>
      </c>
      <c r="F12" s="139"/>
      <c r="G12" s="139"/>
    </row>
    <row r="13" spans="1:11" ht="15" customHeight="1" x14ac:dyDescent="0.25"/>
    <row r="14" spans="1:11" ht="24.95" customHeight="1" x14ac:dyDescent="0.3">
      <c r="B14" s="48" t="s">
        <v>497</v>
      </c>
    </row>
    <row r="15" spans="1:11" ht="3" customHeight="1" x14ac:dyDescent="0.3">
      <c r="B15" s="49"/>
      <c r="C15" s="25"/>
      <c r="D15" s="25"/>
      <c r="E15" s="25"/>
      <c r="F15" s="25"/>
      <c r="G15" s="25"/>
    </row>
    <row r="16" spans="1:11" ht="23.25" customHeight="1" x14ac:dyDescent="0.25">
      <c r="B16" s="262" t="s">
        <v>498</v>
      </c>
      <c r="C16" s="262"/>
      <c r="D16" s="262"/>
    </row>
    <row r="17" spans="2:7" ht="3" customHeight="1" x14ac:dyDescent="0.25">
      <c r="B17" s="97"/>
      <c r="C17" s="97"/>
      <c r="D17" s="97"/>
      <c r="E17" s="97"/>
      <c r="F17" s="25"/>
      <c r="G17" s="25"/>
    </row>
    <row r="18" spans="2:7" ht="18.75" customHeight="1" x14ac:dyDescent="0.25">
      <c r="B18" s="130" t="s">
        <v>499</v>
      </c>
      <c r="C18" s="131" t="s">
        <v>290</v>
      </c>
      <c r="D18" s="132" t="s">
        <v>291</v>
      </c>
      <c r="E18" s="130" t="s">
        <v>292</v>
      </c>
      <c r="F18" s="131" t="s">
        <v>305</v>
      </c>
      <c r="G18" s="131" t="s">
        <v>118</v>
      </c>
    </row>
    <row r="19" spans="2:7" ht="15" customHeight="1" x14ac:dyDescent="0.25">
      <c r="B19" s="29" t="str">
        <f>IF('Treatment (Collection)'!E9="","",'Treatment (Collection)'!E9)</f>
        <v/>
      </c>
      <c r="C19" s="34" t="str">
        <f>IF('Treatment (Collection)'!E13=K8,"",'Treatment (Collection)'!E13)</f>
        <v/>
      </c>
      <c r="D19" s="34" t="str">
        <f>IF('Treatment (Collection)'!E15=K8,"",'Treatment (Collection)'!E15)</f>
        <v/>
      </c>
      <c r="E19" s="34" t="str">
        <f>IF('Treatment (Collection)'!E14=K8,"",'Treatment (Collection)'!E14)</f>
        <v/>
      </c>
      <c r="F19" s="34" t="str">
        <f t="shared" ref="F19:F28" si="0">IF(IFERROR(IF(D19="",((C19+(4*(AVERAGE(C19,E19)))+E19)/6),((C19+(4*D19)+E19)/6)),0)=0,"",IFERROR(IF(D19="",((C19+(4*(AVERAGE(C19,E19)))+E19)/6),((C19+(4*D19)+E19)/6)),0))</f>
        <v/>
      </c>
      <c r="G19" s="107"/>
    </row>
    <row r="20" spans="2:7" x14ac:dyDescent="0.25">
      <c r="B20" s="30" t="str">
        <f>IF('Treatment (Collection)'!E20="","",'Treatment (Collection)'!E20)</f>
        <v/>
      </c>
      <c r="C20" s="33" t="str">
        <f>IF('Treatment (Collection)'!E24=K8,"",'Treatment (Collection)'!E24)</f>
        <v/>
      </c>
      <c r="D20" s="33" t="str">
        <f>IF('Treatment (Collection)'!E26=K8,"",'Treatment (Collection)'!E26)</f>
        <v/>
      </c>
      <c r="E20" s="33" t="str">
        <f>IF('Treatment (Collection)'!E25=K8,"",'Treatment (Collection)'!E25)</f>
        <v/>
      </c>
      <c r="F20" s="33" t="str">
        <f t="shared" si="0"/>
        <v/>
      </c>
      <c r="G20" s="108"/>
    </row>
    <row r="21" spans="2:7" x14ac:dyDescent="0.25">
      <c r="B21" s="29" t="str">
        <f>IF('Treatment (Collection)'!E31="","",'Treatment (Collection)'!E31)</f>
        <v/>
      </c>
      <c r="C21" s="34" t="str">
        <f>IF('Treatment (Collection)'!E35=K8,"",'Treatment (Collection)'!E35)</f>
        <v/>
      </c>
      <c r="D21" s="34" t="str">
        <f>IF('Treatment (Collection)'!E37=K8,"",'Treatment (Collection)'!E37)</f>
        <v/>
      </c>
      <c r="E21" s="34" t="str">
        <f>IF('Treatment (Collection)'!E36=K8,"",'Treatment (Collection)'!E36)</f>
        <v/>
      </c>
      <c r="F21" s="34" t="str">
        <f t="shared" si="0"/>
        <v/>
      </c>
      <c r="G21" s="107"/>
    </row>
    <row r="22" spans="2:7" x14ac:dyDescent="0.25">
      <c r="B22" s="30" t="str">
        <f>IF('Treatment (Collection)'!E42="","",'Treatment (Collection)'!E42)</f>
        <v/>
      </c>
      <c r="C22" s="33" t="str">
        <f>IF('Treatment (Collection)'!E46=K8,"",'Treatment (Collection)'!E46)</f>
        <v/>
      </c>
      <c r="D22" s="33" t="str">
        <f>IF('Treatment (Collection)'!E48=K8,"",'Treatment (Collection)'!E48)</f>
        <v/>
      </c>
      <c r="E22" s="33" t="str">
        <f>IF('Treatment (Collection)'!E47=K8,"",'Treatment (Collection)'!E47)</f>
        <v/>
      </c>
      <c r="F22" s="33" t="str">
        <f t="shared" si="0"/>
        <v/>
      </c>
      <c r="G22" s="108"/>
    </row>
    <row r="23" spans="2:7" x14ac:dyDescent="0.25">
      <c r="B23" s="29" t="str">
        <f>IF('Treatment (Collection)'!E53="","",'Treatment (Collection)'!E53)</f>
        <v/>
      </c>
      <c r="C23" s="34" t="str">
        <f>IF('Treatment (Collection)'!E57=K8,"",'Treatment (Collection)'!E57)</f>
        <v/>
      </c>
      <c r="D23" s="34" t="str">
        <f>IF('Treatment (Collection)'!E59=K8,"",'Treatment (Collection)'!E59)</f>
        <v/>
      </c>
      <c r="E23" s="34" t="str">
        <f>IF('Treatment (Collection)'!E58=K8,"",'Treatment (Collection)'!E58)</f>
        <v/>
      </c>
      <c r="F23" s="34" t="str">
        <f t="shared" si="0"/>
        <v/>
      </c>
      <c r="G23" s="107"/>
    </row>
    <row r="24" spans="2:7" x14ac:dyDescent="0.25">
      <c r="B24" s="30" t="str">
        <f>IF('Treatment (Collection)'!E64="","",'Treatment (Collection)'!E64)</f>
        <v/>
      </c>
      <c r="C24" s="33" t="str">
        <f>IF('Treatment (Collection)'!E68=K8,"",'Treatment (Collection)'!E68)</f>
        <v/>
      </c>
      <c r="D24" s="33" t="str">
        <f>IF('Treatment (Collection)'!E70=K8,"",'Treatment (Collection)'!E70)</f>
        <v/>
      </c>
      <c r="E24" s="33" t="str">
        <f>IF('Treatment (Collection)'!E69=K8,"",'Treatment (Collection)'!E69)</f>
        <v/>
      </c>
      <c r="F24" s="33" t="str">
        <f t="shared" si="0"/>
        <v/>
      </c>
      <c r="G24" s="108"/>
    </row>
    <row r="25" spans="2:7" x14ac:dyDescent="0.25">
      <c r="B25" s="29" t="str">
        <f>IF('Treatment (Collection)'!E75="","",'Treatment (Collection)'!E75)</f>
        <v/>
      </c>
      <c r="C25" s="34" t="str">
        <f>IF('Treatment (Collection)'!E79=K8,"",'Treatment (Collection)'!E79)</f>
        <v/>
      </c>
      <c r="D25" s="34" t="str">
        <f>IF('Treatment (Collection)'!E81=K8,"",'Treatment (Collection)'!E81)</f>
        <v/>
      </c>
      <c r="E25" s="34" t="str">
        <f>IF('Treatment (Collection)'!E80=K8,"",'Treatment (Collection)'!E80)</f>
        <v/>
      </c>
      <c r="F25" s="34" t="str">
        <f t="shared" si="0"/>
        <v/>
      </c>
      <c r="G25" s="107"/>
    </row>
    <row r="26" spans="2:7" x14ac:dyDescent="0.25">
      <c r="B26" s="30" t="str">
        <f>IF('Treatment (Collection)'!E86="","",'Treatment (Collection)'!E86)</f>
        <v/>
      </c>
      <c r="C26" s="33" t="str">
        <f>IF('Treatment (Collection)'!E90=K8,"",'Treatment (Collection)'!E90)</f>
        <v/>
      </c>
      <c r="D26" s="33" t="str">
        <f>IF('Treatment (Collection)'!E92=K8,"",'Treatment (Collection)'!E92)</f>
        <v/>
      </c>
      <c r="E26" s="33" t="str">
        <f>IF('Treatment (Collection)'!E91=K8,"",'Treatment (Collection)'!E91)</f>
        <v/>
      </c>
      <c r="F26" s="33" t="str">
        <f t="shared" si="0"/>
        <v/>
      </c>
      <c r="G26" s="108"/>
    </row>
    <row r="27" spans="2:7" x14ac:dyDescent="0.25">
      <c r="B27" s="29" t="str">
        <f>IF('Treatment (Collection)'!E97="","",'Treatment (Collection)'!E97)</f>
        <v/>
      </c>
      <c r="C27" s="34" t="str">
        <f>IF('Treatment (Collection)'!E101=K8,"",'Treatment (Collection)'!E101)</f>
        <v/>
      </c>
      <c r="D27" s="34" t="str">
        <f>IF('Treatment (Collection)'!E103=K8,"",'Treatment (Collection)'!E103)</f>
        <v/>
      </c>
      <c r="E27" s="34" t="str">
        <f>IF('Treatment (Collection)'!E102=K8,"",'Treatment (Collection)'!E102)</f>
        <v/>
      </c>
      <c r="F27" s="34" t="str">
        <f t="shared" si="0"/>
        <v/>
      </c>
      <c r="G27" s="107"/>
    </row>
    <row r="28" spans="2:7" x14ac:dyDescent="0.25">
      <c r="B28" s="30" t="str">
        <f>IF('Treatment (Collection)'!E108="","",'Treatment (Collection)'!E108)</f>
        <v/>
      </c>
      <c r="C28" s="33" t="str">
        <f>IF('Treatment (Collection)'!E112=K8,"",'Treatment (Collection)'!E112)</f>
        <v/>
      </c>
      <c r="D28" s="33" t="str">
        <f>IF('Treatment (Collection)'!E114=K8,"",'Treatment (Collection)'!E103)</f>
        <v/>
      </c>
      <c r="E28" s="33" t="str">
        <f>IF('Treatment (Collection)'!E113=K8,"",'Treatment (Collection)'!E113)</f>
        <v/>
      </c>
      <c r="F28" s="33" t="str">
        <f t="shared" si="0"/>
        <v/>
      </c>
      <c r="G28" s="108"/>
    </row>
    <row r="29" spans="2:7" x14ac:dyDescent="0.25">
      <c r="B29" s="95"/>
      <c r="C29" s="95"/>
      <c r="D29" s="95"/>
      <c r="E29" s="135" t="s">
        <v>500</v>
      </c>
      <c r="F29" s="136">
        <f>IFERROR(AVERAGE(F19:F28),0)</f>
        <v>0</v>
      </c>
    </row>
    <row r="30" spans="2:7" x14ac:dyDescent="0.25">
      <c r="B30" s="95"/>
      <c r="C30" s="95"/>
      <c r="D30" s="95"/>
    </row>
    <row r="31" spans="2:7" ht="15.75" x14ac:dyDescent="0.25">
      <c r="B31" s="163" t="s">
        <v>501</v>
      </c>
      <c r="C31" s="95"/>
      <c r="D31" s="95"/>
    </row>
    <row r="32" spans="2:7" ht="3" customHeight="1" x14ac:dyDescent="0.25">
      <c r="B32" s="97"/>
      <c r="C32" s="97"/>
      <c r="D32" s="97"/>
      <c r="E32" s="97"/>
      <c r="F32" s="25"/>
    </row>
    <row r="33" spans="2:6" ht="18.75" customHeight="1" x14ac:dyDescent="0.25">
      <c r="B33" s="130" t="s">
        <v>499</v>
      </c>
      <c r="C33" s="131" t="s">
        <v>296</v>
      </c>
      <c r="D33" s="132" t="s">
        <v>297</v>
      </c>
      <c r="E33" s="130" t="s">
        <v>298</v>
      </c>
      <c r="F33" s="131" t="s">
        <v>310</v>
      </c>
    </row>
    <row r="34" spans="2:6" ht="15" customHeight="1" x14ac:dyDescent="0.25">
      <c r="B34" s="29" t="str">
        <f t="shared" ref="B34:B43" si="1">IF(B19="","",B19)</f>
        <v/>
      </c>
      <c r="C34" s="109" t="str">
        <f>IF('Treatment (Collection)'!E10=K8,"",'Treatment (Collection)'!E10)</f>
        <v/>
      </c>
      <c r="D34" s="109" t="str">
        <f>IF('Treatment (Collection)'!E12=K8,"",'Treatment (Collection)'!E12)</f>
        <v/>
      </c>
      <c r="E34" s="109" t="str">
        <f>IF('Treatment (Collection)'!E11=K8,"",'Treatment (Collection)'!E11)</f>
        <v/>
      </c>
      <c r="F34" s="109" t="str">
        <f t="shared" ref="F34:F43" si="2">IF(IFERROR(IF(D34="",((C34+(4*(AVERAGE(C34,E34)))+E34)/6),((C34+(4*D34)+E34)/6)),0)=0,"",IFERROR(IF(D34="",((C34+(4*(AVERAGE(C34,E34)))+E34)/6),((C34+(4*D34)+E34)/6)),0))</f>
        <v/>
      </c>
    </row>
    <row r="35" spans="2:6" x14ac:dyDescent="0.25">
      <c r="B35" s="30" t="str">
        <f t="shared" si="1"/>
        <v/>
      </c>
      <c r="C35" s="110" t="str">
        <f>IF('Treatment (Collection)'!E21=K8,"",'Treatment (Collection)'!E21)</f>
        <v/>
      </c>
      <c r="D35" s="110" t="str">
        <f>IF('Treatment (Collection)'!E23=K8,"",'Treatment (Collection)'!E23)</f>
        <v/>
      </c>
      <c r="E35" s="110" t="str">
        <f>IF('Treatment (Collection)'!E22=K8,"",'Treatment (Collection)'!E22)</f>
        <v/>
      </c>
      <c r="F35" s="110" t="str">
        <f t="shared" si="2"/>
        <v/>
      </c>
    </row>
    <row r="36" spans="2:6" x14ac:dyDescent="0.25">
      <c r="B36" s="29" t="str">
        <f t="shared" si="1"/>
        <v/>
      </c>
      <c r="C36" s="109" t="str">
        <f>IF('Treatment (Collection)'!E32=K8,"",'Treatment (Collection)'!E32)</f>
        <v/>
      </c>
      <c r="D36" s="109" t="str">
        <f>IF('Treatment (Collection)'!E34=K8,"",'Treatment (Collection)'!E34)</f>
        <v/>
      </c>
      <c r="E36" s="109" t="str">
        <f>IF('Treatment (Collection)'!E33=K8,"",'Treatment (Collection)'!E33)</f>
        <v/>
      </c>
      <c r="F36" s="109" t="str">
        <f t="shared" si="2"/>
        <v/>
      </c>
    </row>
    <row r="37" spans="2:6" x14ac:dyDescent="0.25">
      <c r="B37" s="30" t="str">
        <f t="shared" si="1"/>
        <v/>
      </c>
      <c r="C37" s="110" t="str">
        <f>IF('Treatment (Collection)'!E43=K8,"",'Treatment (Collection)'!E43)</f>
        <v/>
      </c>
      <c r="D37" s="110" t="str">
        <f>IF('Treatment (Collection)'!E45=K8,"",'Treatment (Collection)'!E45)</f>
        <v/>
      </c>
      <c r="E37" s="110" t="str">
        <f>IF('Treatment (Collection)'!E44=K8,"",'Treatment (Collection)'!E44)</f>
        <v/>
      </c>
      <c r="F37" s="110" t="str">
        <f t="shared" si="2"/>
        <v/>
      </c>
    </row>
    <row r="38" spans="2:6" x14ac:dyDescent="0.25">
      <c r="B38" s="29" t="str">
        <f t="shared" si="1"/>
        <v/>
      </c>
      <c r="C38" s="109" t="str">
        <f>IF('Treatment (Collection)'!E54=K8,"",'Treatment (Collection)'!E54)</f>
        <v/>
      </c>
      <c r="D38" s="109" t="str">
        <f>IF('Treatment (Collection)'!E56=K8,"",'Treatment (Collection)'!E56)</f>
        <v/>
      </c>
      <c r="E38" s="109" t="str">
        <f>IF('Treatment (Collection)'!E55=K8,"",'Treatment (Collection)'!E55)</f>
        <v/>
      </c>
      <c r="F38" s="109" t="str">
        <f t="shared" si="2"/>
        <v/>
      </c>
    </row>
    <row r="39" spans="2:6" x14ac:dyDescent="0.25">
      <c r="B39" s="30" t="str">
        <f t="shared" si="1"/>
        <v/>
      </c>
      <c r="C39" s="110" t="str">
        <f>IF('Treatment (Collection)'!E65=K8,"",'Treatment (Collection)'!E65)</f>
        <v/>
      </c>
      <c r="D39" s="110" t="str">
        <f>IF('Treatment (Collection)'!E67=K8,"",'Treatment (Collection)'!E67)</f>
        <v/>
      </c>
      <c r="E39" s="110" t="str">
        <f>IF('Treatment (Collection)'!E66=K8,"",'Treatment (Collection)'!E66)</f>
        <v/>
      </c>
      <c r="F39" s="110" t="str">
        <f t="shared" si="2"/>
        <v/>
      </c>
    </row>
    <row r="40" spans="2:6" x14ac:dyDescent="0.25">
      <c r="B40" s="29" t="str">
        <f t="shared" si="1"/>
        <v/>
      </c>
      <c r="C40" s="109" t="str">
        <f>IF('Treatment (Collection)'!E76=K8,"",'Treatment (Collection)'!E76)</f>
        <v/>
      </c>
      <c r="D40" s="109" t="str">
        <f>IF('Treatment (Collection)'!E78=K8,"",'Treatment (Collection)'!E78)</f>
        <v/>
      </c>
      <c r="E40" s="109" t="str">
        <f>IF('Treatment (Collection)'!E77=K8,"",'Treatment (Collection)'!E77)</f>
        <v/>
      </c>
      <c r="F40" s="109" t="str">
        <f t="shared" si="2"/>
        <v/>
      </c>
    </row>
    <row r="41" spans="2:6" x14ac:dyDescent="0.25">
      <c r="B41" s="30" t="str">
        <f t="shared" si="1"/>
        <v/>
      </c>
      <c r="C41" s="110" t="str">
        <f>IF('Treatment (Collection)'!E87=K8,"",'Treatment (Collection)'!E87)</f>
        <v/>
      </c>
      <c r="D41" s="110" t="str">
        <f>IF('Treatment (Collection)'!E89=K8,"",'Treatment (Collection)'!E89)</f>
        <v/>
      </c>
      <c r="E41" s="110" t="str">
        <f>IF('Treatment (Collection)'!E88=K8,"",'Treatment (Collection)'!E88)</f>
        <v/>
      </c>
      <c r="F41" s="110" t="str">
        <f t="shared" si="2"/>
        <v/>
      </c>
    </row>
    <row r="42" spans="2:6" x14ac:dyDescent="0.25">
      <c r="B42" s="29" t="str">
        <f t="shared" si="1"/>
        <v/>
      </c>
      <c r="C42" s="109" t="str">
        <f>IF('Treatment (Collection)'!E98=K8,"",'Treatment (Collection)'!E98)</f>
        <v/>
      </c>
      <c r="D42" s="109" t="str">
        <f>IF('Treatment (Collection)'!E100=K8,"",'Treatment (Collection)'!E100)</f>
        <v/>
      </c>
      <c r="E42" s="109" t="str">
        <f>IF('Treatment (Collection)'!E99=K8,"",'Treatment (Collection)'!E99)</f>
        <v/>
      </c>
      <c r="F42" s="109" t="str">
        <f t="shared" si="2"/>
        <v/>
      </c>
    </row>
    <row r="43" spans="2:6" x14ac:dyDescent="0.25">
      <c r="B43" s="30" t="str">
        <f t="shared" si="1"/>
        <v/>
      </c>
      <c r="C43" s="110" t="str">
        <f>IF('Treatment (Collection)'!E109=K8,"",'Treatment (Collection)'!E109)</f>
        <v/>
      </c>
      <c r="D43" s="110" t="str">
        <f>IF('Treatment (Collection)'!E111=K8,"",'Treatment (Collection)'!E100)</f>
        <v/>
      </c>
      <c r="E43" s="110" t="str">
        <f>IF('Treatment (Collection)'!E110=K8,"",'Treatment (Collection)'!E110)</f>
        <v/>
      </c>
      <c r="F43" s="110" t="str">
        <f t="shared" si="2"/>
        <v/>
      </c>
    </row>
    <row r="44" spans="2:6" x14ac:dyDescent="0.25">
      <c r="C44" s="95"/>
      <c r="D44" s="95"/>
      <c r="E44" s="131" t="s">
        <v>502</v>
      </c>
      <c r="F44" s="137">
        <f>SUM(F34:F43)</f>
        <v>0</v>
      </c>
    </row>
    <row r="46" spans="2:6" ht="15.75" x14ac:dyDescent="0.25">
      <c r="B46" s="96" t="s">
        <v>496</v>
      </c>
      <c r="D46" s="95"/>
      <c r="E46" s="95"/>
    </row>
    <row r="47" spans="2:6" ht="3" customHeight="1" x14ac:dyDescent="0.25">
      <c r="B47" s="97"/>
      <c r="C47" s="97"/>
      <c r="D47" s="97"/>
      <c r="E47" s="97"/>
    </row>
    <row r="48" spans="2:6" ht="18.75" customHeight="1" x14ac:dyDescent="0.25">
      <c r="B48" s="130" t="s">
        <v>499</v>
      </c>
      <c r="C48" s="131" t="s">
        <v>503</v>
      </c>
      <c r="D48" s="132" t="s">
        <v>504</v>
      </c>
      <c r="E48" s="130" t="s">
        <v>496</v>
      </c>
    </row>
    <row r="49" spans="2:10" x14ac:dyDescent="0.25">
      <c r="B49" s="29" t="str">
        <f t="shared" ref="B49:B58" si="3">IF(B19="","",B19)</f>
        <v/>
      </c>
      <c r="C49" s="109" t="str">
        <f t="shared" ref="C49:C58" si="4">IFERROR($E$9*F19,"")</f>
        <v/>
      </c>
      <c r="D49" s="109" t="str">
        <f t="shared" ref="D49:D58" si="5">IFERROR(($E$9*F19)-F34,"")</f>
        <v/>
      </c>
      <c r="E49" s="34" t="str">
        <f t="shared" ref="E49:E58" si="6">IFERROR((C49/F34)-1,"")</f>
        <v/>
      </c>
      <c r="J49" t="s">
        <v>505</v>
      </c>
    </row>
    <row r="50" spans="2:10" x14ac:dyDescent="0.25">
      <c r="B50" s="30" t="str">
        <f t="shared" si="3"/>
        <v/>
      </c>
      <c r="C50" s="110" t="str">
        <f t="shared" si="4"/>
        <v/>
      </c>
      <c r="D50" s="110" t="str">
        <f t="shared" si="5"/>
        <v/>
      </c>
      <c r="E50" s="33" t="str">
        <f t="shared" si="6"/>
        <v/>
      </c>
    </row>
    <row r="51" spans="2:10" x14ac:dyDescent="0.25">
      <c r="B51" s="29" t="str">
        <f t="shared" si="3"/>
        <v/>
      </c>
      <c r="C51" s="109" t="str">
        <f t="shared" si="4"/>
        <v/>
      </c>
      <c r="D51" s="109" t="str">
        <f t="shared" si="5"/>
        <v/>
      </c>
      <c r="E51" s="34" t="str">
        <f t="shared" si="6"/>
        <v/>
      </c>
    </row>
    <row r="52" spans="2:10" x14ac:dyDescent="0.25">
      <c r="B52" s="30" t="str">
        <f t="shared" si="3"/>
        <v/>
      </c>
      <c r="C52" s="110" t="str">
        <f t="shared" si="4"/>
        <v/>
      </c>
      <c r="D52" s="110" t="str">
        <f t="shared" si="5"/>
        <v/>
      </c>
      <c r="E52" s="33" t="str">
        <f t="shared" si="6"/>
        <v/>
      </c>
    </row>
    <row r="53" spans="2:10" x14ac:dyDescent="0.25">
      <c r="B53" s="29" t="str">
        <f t="shared" si="3"/>
        <v/>
      </c>
      <c r="C53" s="109" t="str">
        <f t="shared" si="4"/>
        <v/>
      </c>
      <c r="D53" s="109" t="str">
        <f t="shared" si="5"/>
        <v/>
      </c>
      <c r="E53" s="34" t="str">
        <f t="shared" si="6"/>
        <v/>
      </c>
    </row>
    <row r="54" spans="2:10" x14ac:dyDescent="0.25">
      <c r="B54" s="30" t="str">
        <f t="shared" si="3"/>
        <v/>
      </c>
      <c r="C54" s="110" t="str">
        <f t="shared" si="4"/>
        <v/>
      </c>
      <c r="D54" s="110" t="str">
        <f t="shared" si="5"/>
        <v/>
      </c>
      <c r="E54" s="33" t="str">
        <f t="shared" si="6"/>
        <v/>
      </c>
    </row>
    <row r="55" spans="2:10" x14ac:dyDescent="0.25">
      <c r="B55" s="29" t="str">
        <f t="shared" si="3"/>
        <v/>
      </c>
      <c r="C55" s="109" t="str">
        <f t="shared" si="4"/>
        <v/>
      </c>
      <c r="D55" s="109" t="str">
        <f t="shared" si="5"/>
        <v/>
      </c>
      <c r="E55" s="34" t="str">
        <f t="shared" si="6"/>
        <v/>
      </c>
    </row>
    <row r="56" spans="2:10" x14ac:dyDescent="0.25">
      <c r="B56" s="30" t="str">
        <f t="shared" si="3"/>
        <v/>
      </c>
      <c r="C56" s="110" t="str">
        <f t="shared" si="4"/>
        <v/>
      </c>
      <c r="D56" s="110" t="str">
        <f t="shared" si="5"/>
        <v/>
      </c>
      <c r="E56" s="33" t="str">
        <f t="shared" si="6"/>
        <v/>
      </c>
    </row>
    <row r="57" spans="2:10" x14ac:dyDescent="0.25">
      <c r="B57" s="29" t="str">
        <f t="shared" si="3"/>
        <v/>
      </c>
      <c r="C57" s="109" t="str">
        <f t="shared" si="4"/>
        <v/>
      </c>
      <c r="D57" s="109" t="str">
        <f t="shared" si="5"/>
        <v/>
      </c>
      <c r="E57" s="34" t="str">
        <f t="shared" si="6"/>
        <v/>
      </c>
    </row>
    <row r="58" spans="2:10" x14ac:dyDescent="0.25">
      <c r="B58" s="30" t="str">
        <f t="shared" si="3"/>
        <v/>
      </c>
      <c r="C58" s="110" t="str">
        <f t="shared" si="4"/>
        <v/>
      </c>
      <c r="D58" s="110" t="str">
        <f t="shared" si="5"/>
        <v/>
      </c>
      <c r="E58" s="33" t="str">
        <f t="shared" si="6"/>
        <v/>
      </c>
    </row>
    <row r="59" spans="2:10" x14ac:dyDescent="0.25">
      <c r="B59" s="131" t="s">
        <v>506</v>
      </c>
      <c r="C59" s="137">
        <f>IF(SUM(C49:C58)&gt;E9,E9,SUM(C49:C58))</f>
        <v>0</v>
      </c>
    </row>
  </sheetData>
  <sheetProtection sheet="1" objects="1" scenarios="1" selectLockedCells="1"/>
  <sortState xmlns:xlrd2="http://schemas.microsoft.com/office/spreadsheetml/2017/richdata2" ref="B36:B137">
    <sortCondition ref="B36"/>
  </sortState>
  <mergeCells count="2">
    <mergeCell ref="B5:G5"/>
    <mergeCell ref="B16:D16"/>
  </mergeCells>
  <pageMargins left="0.7" right="0.7" top="0.75" bottom="0.75" header="0.3" footer="0.3"/>
  <pageSetup paperSize="9" orientation="portrait" r:id="rId1"/>
  <ignoredErrors>
    <ignoredError sqref="E58:F58 E57:F57 E56:F56 E55:F55 E54:F54 E53:F53 E52:F52 E51:F51 E50:F50 E49:F49 B19:F28 B34:F43 B49:D58" unlockedFormula="1"/>
    <ignoredError xmlns:x16r3="http://schemas.microsoft.com/office/spreadsheetml/2018/08/main" sqref="C9" x16r3:misleadingFormat="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C231A-9E1D-47AB-9D19-20493CD2BBAC}">
  <sheetPr codeName="Sheet3"/>
  <dimension ref="A1:H105"/>
  <sheetViews>
    <sheetView workbookViewId="0">
      <selection sqref="A1:K1048576"/>
    </sheetView>
  </sheetViews>
  <sheetFormatPr defaultColWidth="8.85546875" defaultRowHeight="15" x14ac:dyDescent="0.25"/>
  <cols>
    <col min="1" max="1" width="11.140625" bestFit="1" customWidth="1"/>
    <col min="5" max="5" width="13.28515625" bestFit="1" customWidth="1"/>
  </cols>
  <sheetData>
    <row r="1" spans="1:8" x14ac:dyDescent="0.25">
      <c r="A1" s="203"/>
      <c r="B1" s="5"/>
      <c r="D1" s="221"/>
      <c r="E1" s="203"/>
      <c r="F1" s="5"/>
    </row>
    <row r="2" spans="1:8" x14ac:dyDescent="0.25">
      <c r="A2" s="252"/>
      <c r="D2" s="11"/>
      <c r="E2" s="252"/>
      <c r="H2" s="120"/>
    </row>
    <row r="3" spans="1:8" x14ac:dyDescent="0.25">
      <c r="A3" s="252"/>
      <c r="D3" s="11"/>
      <c r="E3" s="252"/>
      <c r="H3" s="120"/>
    </row>
    <row r="4" spans="1:8" x14ac:dyDescent="0.25">
      <c r="A4" s="252"/>
      <c r="D4" s="11"/>
      <c r="E4" s="252"/>
      <c r="H4" s="120"/>
    </row>
    <row r="5" spans="1:8" x14ac:dyDescent="0.25">
      <c r="A5" s="252"/>
      <c r="D5" s="11"/>
      <c r="E5" s="252"/>
      <c r="H5" s="120"/>
    </row>
    <row r="6" spans="1:8" x14ac:dyDescent="0.25">
      <c r="A6" s="252"/>
      <c r="D6" s="11"/>
      <c r="E6" s="252"/>
      <c r="H6" s="120"/>
    </row>
    <row r="7" spans="1:8" x14ac:dyDescent="0.25">
      <c r="A7" s="252"/>
      <c r="D7" s="11"/>
      <c r="E7" s="252"/>
      <c r="H7" s="120"/>
    </row>
    <row r="8" spans="1:8" x14ac:dyDescent="0.25">
      <c r="A8" s="252"/>
      <c r="D8" s="11"/>
      <c r="E8" s="252"/>
      <c r="H8" s="120"/>
    </row>
    <row r="9" spans="1:8" x14ac:dyDescent="0.25">
      <c r="A9" s="252"/>
      <c r="D9" s="11"/>
      <c r="E9" s="252"/>
      <c r="H9" s="120"/>
    </row>
    <row r="10" spans="1:8" x14ac:dyDescent="0.25">
      <c r="A10" s="252"/>
      <c r="D10" s="11"/>
      <c r="E10" s="252"/>
      <c r="H10" s="120"/>
    </row>
    <row r="11" spans="1:8" x14ac:dyDescent="0.25">
      <c r="A11" s="252"/>
      <c r="D11" s="11"/>
      <c r="E11" s="252"/>
      <c r="H11" s="120"/>
    </row>
    <row r="12" spans="1:8" x14ac:dyDescent="0.25">
      <c r="A12" s="252"/>
      <c r="D12" s="11"/>
      <c r="E12" s="252"/>
      <c r="H12" s="120"/>
    </row>
    <row r="13" spans="1:8" x14ac:dyDescent="0.25">
      <c r="A13" s="252"/>
      <c r="D13" s="11"/>
      <c r="E13" s="252"/>
      <c r="H13" s="120"/>
    </row>
    <row r="14" spans="1:8" x14ac:dyDescent="0.25">
      <c r="A14" s="252"/>
      <c r="D14" s="11"/>
      <c r="E14" s="252"/>
      <c r="H14" s="120"/>
    </row>
    <row r="15" spans="1:8" x14ac:dyDescent="0.25">
      <c r="A15" s="252"/>
      <c r="D15" s="11"/>
      <c r="E15" s="252"/>
      <c r="H15" s="120"/>
    </row>
    <row r="16" spans="1:8" x14ac:dyDescent="0.25">
      <c r="A16" s="252"/>
      <c r="D16" s="11"/>
      <c r="E16" s="252"/>
      <c r="H16" s="120"/>
    </row>
    <row r="17" spans="1:8" x14ac:dyDescent="0.25">
      <c r="A17" s="252"/>
      <c r="D17" s="11"/>
      <c r="E17" s="252"/>
      <c r="H17" s="120"/>
    </row>
    <row r="18" spans="1:8" x14ac:dyDescent="0.25">
      <c r="A18" s="252"/>
      <c r="D18" s="11"/>
      <c r="E18" s="252"/>
      <c r="H18" s="120"/>
    </row>
    <row r="19" spans="1:8" x14ac:dyDescent="0.25">
      <c r="A19" s="252"/>
      <c r="D19" s="11"/>
      <c r="E19" s="252"/>
      <c r="H19" s="120"/>
    </row>
    <row r="20" spans="1:8" x14ac:dyDescent="0.25">
      <c r="A20" s="252"/>
      <c r="D20" s="11"/>
      <c r="E20" s="252"/>
      <c r="H20" s="120"/>
    </row>
    <row r="21" spans="1:8" x14ac:dyDescent="0.25">
      <c r="A21" s="252"/>
      <c r="D21" s="11"/>
      <c r="E21" s="252"/>
      <c r="H21" s="120"/>
    </row>
    <row r="22" spans="1:8" x14ac:dyDescent="0.25">
      <c r="A22" s="252"/>
      <c r="D22" s="11"/>
      <c r="E22" s="252"/>
      <c r="H22" s="120"/>
    </row>
    <row r="23" spans="1:8" x14ac:dyDescent="0.25">
      <c r="A23" s="252"/>
      <c r="D23" s="11"/>
      <c r="E23" s="252"/>
      <c r="H23" s="120"/>
    </row>
    <row r="24" spans="1:8" x14ac:dyDescent="0.25">
      <c r="A24" s="252"/>
      <c r="D24" s="11"/>
      <c r="E24" s="252"/>
      <c r="H24" s="120"/>
    </row>
    <row r="25" spans="1:8" x14ac:dyDescent="0.25">
      <c r="A25" s="252"/>
      <c r="D25" s="11"/>
      <c r="E25" s="252"/>
      <c r="H25" s="120"/>
    </row>
    <row r="26" spans="1:8" x14ac:dyDescent="0.25">
      <c r="A26" s="252"/>
      <c r="D26" s="11"/>
      <c r="E26" s="252"/>
      <c r="H26" s="120"/>
    </row>
    <row r="27" spans="1:8" x14ac:dyDescent="0.25">
      <c r="A27" s="252"/>
      <c r="D27" s="11"/>
      <c r="E27" s="252"/>
      <c r="H27" s="120"/>
    </row>
    <row r="28" spans="1:8" x14ac:dyDescent="0.25">
      <c r="A28" s="252"/>
      <c r="D28" s="11"/>
      <c r="E28" s="252"/>
      <c r="H28" s="120"/>
    </row>
    <row r="29" spans="1:8" x14ac:dyDescent="0.25">
      <c r="A29" s="252"/>
      <c r="D29" s="11"/>
      <c r="E29" s="252"/>
      <c r="H29" s="120"/>
    </row>
    <row r="30" spans="1:8" x14ac:dyDescent="0.25">
      <c r="A30" s="252"/>
      <c r="D30" s="11"/>
      <c r="E30" s="252"/>
      <c r="H30" s="120"/>
    </row>
    <row r="31" spans="1:8" x14ac:dyDescent="0.25">
      <c r="A31" s="252"/>
      <c r="D31" s="11"/>
      <c r="E31" s="252"/>
      <c r="H31" s="120"/>
    </row>
    <row r="32" spans="1:8" x14ac:dyDescent="0.25">
      <c r="A32" s="252"/>
      <c r="D32" s="11"/>
      <c r="E32" s="252"/>
      <c r="H32" s="120"/>
    </row>
    <row r="33" spans="1:8" x14ac:dyDescent="0.25">
      <c r="A33" s="252"/>
      <c r="D33" s="11"/>
      <c r="E33" s="252"/>
      <c r="H33" s="120"/>
    </row>
    <row r="34" spans="1:8" x14ac:dyDescent="0.25">
      <c r="A34" s="252"/>
      <c r="D34" s="11"/>
      <c r="E34" s="252"/>
      <c r="H34" s="120"/>
    </row>
    <row r="35" spans="1:8" x14ac:dyDescent="0.25">
      <c r="A35" s="252"/>
      <c r="D35" s="11"/>
      <c r="E35" s="252"/>
      <c r="H35" s="120"/>
    </row>
    <row r="36" spans="1:8" x14ac:dyDescent="0.25">
      <c r="A36" s="252"/>
      <c r="D36" s="11"/>
      <c r="E36" s="252"/>
      <c r="H36" s="120"/>
    </row>
    <row r="37" spans="1:8" x14ac:dyDescent="0.25">
      <c r="A37" s="252"/>
      <c r="D37" s="11"/>
      <c r="E37" s="252"/>
      <c r="H37" s="120"/>
    </row>
    <row r="38" spans="1:8" x14ac:dyDescent="0.25">
      <c r="A38" s="252"/>
      <c r="D38" s="11"/>
      <c r="E38" s="252"/>
      <c r="H38" s="120"/>
    </row>
    <row r="39" spans="1:8" x14ac:dyDescent="0.25">
      <c r="A39" s="252"/>
      <c r="D39" s="11"/>
      <c r="E39" s="252"/>
      <c r="H39" s="120"/>
    </row>
    <row r="40" spans="1:8" x14ac:dyDescent="0.25">
      <c r="A40" s="252"/>
      <c r="D40" s="11"/>
      <c r="E40" s="252"/>
      <c r="H40" s="120"/>
    </row>
    <row r="41" spans="1:8" x14ac:dyDescent="0.25">
      <c r="A41" s="252"/>
      <c r="D41" s="11"/>
      <c r="E41" s="252"/>
      <c r="H41" s="120"/>
    </row>
    <row r="42" spans="1:8" x14ac:dyDescent="0.25">
      <c r="A42" s="252"/>
      <c r="D42" s="11"/>
      <c r="E42" s="252"/>
      <c r="H42" s="120"/>
    </row>
    <row r="43" spans="1:8" x14ac:dyDescent="0.25">
      <c r="A43" s="252"/>
      <c r="D43" s="11"/>
      <c r="E43" s="252"/>
      <c r="H43" s="120"/>
    </row>
    <row r="44" spans="1:8" x14ac:dyDescent="0.25">
      <c r="A44" s="252"/>
      <c r="D44" s="11"/>
      <c r="E44" s="252"/>
      <c r="H44" s="120"/>
    </row>
    <row r="45" spans="1:8" x14ac:dyDescent="0.25">
      <c r="A45" s="252"/>
      <c r="D45" s="11"/>
      <c r="E45" s="252"/>
      <c r="H45" s="120"/>
    </row>
    <row r="46" spans="1:8" x14ac:dyDescent="0.25">
      <c r="A46" s="252"/>
      <c r="D46" s="11"/>
      <c r="E46" s="252"/>
      <c r="H46" s="120"/>
    </row>
    <row r="47" spans="1:8" x14ac:dyDescent="0.25">
      <c r="A47" s="252"/>
      <c r="D47" s="11"/>
      <c r="E47" s="252"/>
      <c r="H47" s="120"/>
    </row>
    <row r="48" spans="1:8" x14ac:dyDescent="0.25">
      <c r="A48" s="252"/>
      <c r="D48" s="11"/>
      <c r="E48" s="252"/>
      <c r="H48" s="120"/>
    </row>
    <row r="49" spans="1:8" x14ac:dyDescent="0.25">
      <c r="A49" s="252"/>
      <c r="D49" s="11"/>
      <c r="E49" s="252"/>
      <c r="H49" s="120"/>
    </row>
    <row r="50" spans="1:8" x14ac:dyDescent="0.25">
      <c r="A50" s="252"/>
      <c r="D50" s="11"/>
      <c r="E50" s="252"/>
      <c r="H50" s="120"/>
    </row>
    <row r="51" spans="1:8" x14ac:dyDescent="0.25">
      <c r="A51" s="252"/>
      <c r="D51" s="11"/>
      <c r="E51" s="252"/>
      <c r="H51" s="120"/>
    </row>
    <row r="52" spans="1:8" x14ac:dyDescent="0.25">
      <c r="A52" s="252"/>
      <c r="D52" s="11"/>
      <c r="E52" s="252"/>
      <c r="H52" s="120"/>
    </row>
    <row r="53" spans="1:8" x14ac:dyDescent="0.25">
      <c r="A53" s="252"/>
      <c r="D53" s="11"/>
      <c r="E53" s="252"/>
      <c r="H53" s="120"/>
    </row>
    <row r="54" spans="1:8" x14ac:dyDescent="0.25">
      <c r="A54" s="252"/>
      <c r="D54" s="11"/>
      <c r="E54" s="252"/>
      <c r="H54" s="120"/>
    </row>
    <row r="55" spans="1:8" x14ac:dyDescent="0.25">
      <c r="A55" s="252"/>
      <c r="D55" s="11"/>
      <c r="E55" s="252"/>
      <c r="H55" s="120"/>
    </row>
    <row r="56" spans="1:8" x14ac:dyDescent="0.25">
      <c r="A56" s="252"/>
      <c r="D56" s="11"/>
      <c r="E56" s="252"/>
      <c r="H56" s="120"/>
    </row>
    <row r="57" spans="1:8" x14ac:dyDescent="0.25">
      <c r="A57" s="252"/>
      <c r="D57" s="11"/>
      <c r="E57" s="252"/>
      <c r="H57" s="120"/>
    </row>
    <row r="58" spans="1:8" x14ac:dyDescent="0.25">
      <c r="A58" s="252"/>
      <c r="D58" s="11"/>
      <c r="E58" s="252"/>
      <c r="H58" s="120"/>
    </row>
    <row r="59" spans="1:8" x14ac:dyDescent="0.25">
      <c r="A59" s="252"/>
      <c r="D59" s="11"/>
      <c r="E59" s="252"/>
      <c r="H59" s="120"/>
    </row>
    <row r="60" spans="1:8" x14ac:dyDescent="0.25">
      <c r="A60" s="252"/>
      <c r="D60" s="11"/>
      <c r="E60" s="252"/>
      <c r="H60" s="120"/>
    </row>
    <row r="61" spans="1:8" x14ac:dyDescent="0.25">
      <c r="A61" s="252"/>
      <c r="D61" s="11"/>
      <c r="E61" s="252"/>
      <c r="H61" s="120"/>
    </row>
    <row r="62" spans="1:8" x14ac:dyDescent="0.25">
      <c r="A62" s="252"/>
      <c r="D62" s="11"/>
      <c r="E62" s="252"/>
      <c r="H62" s="120"/>
    </row>
    <row r="63" spans="1:8" x14ac:dyDescent="0.25">
      <c r="A63" s="252"/>
      <c r="D63" s="11"/>
      <c r="E63" s="252"/>
      <c r="H63" s="120"/>
    </row>
    <row r="64" spans="1:8" x14ac:dyDescent="0.25">
      <c r="A64" s="252"/>
      <c r="D64" s="11"/>
      <c r="E64" s="252"/>
      <c r="H64" s="120"/>
    </row>
    <row r="65" spans="1:8" x14ac:dyDescent="0.25">
      <c r="A65" s="252"/>
      <c r="D65" s="11"/>
      <c r="E65" s="252"/>
      <c r="H65" s="120"/>
    </row>
    <row r="66" spans="1:8" x14ac:dyDescent="0.25">
      <c r="A66" s="252"/>
      <c r="D66" s="11"/>
      <c r="E66" s="252"/>
      <c r="H66" s="120"/>
    </row>
    <row r="67" spans="1:8" x14ac:dyDescent="0.25">
      <c r="A67" s="252"/>
      <c r="D67" s="11"/>
      <c r="E67" s="252"/>
      <c r="H67" s="120"/>
    </row>
    <row r="68" spans="1:8" x14ac:dyDescent="0.25">
      <c r="A68" s="252"/>
      <c r="D68" s="11"/>
      <c r="E68" s="252"/>
      <c r="H68" s="120"/>
    </row>
    <row r="69" spans="1:8" x14ac:dyDescent="0.25">
      <c r="A69" s="252"/>
      <c r="D69" s="11"/>
      <c r="E69" s="252"/>
      <c r="H69" s="120"/>
    </row>
    <row r="70" spans="1:8" x14ac:dyDescent="0.25">
      <c r="A70" s="252"/>
      <c r="D70" s="11"/>
      <c r="E70" s="252"/>
      <c r="H70" s="120"/>
    </row>
    <row r="71" spans="1:8" x14ac:dyDescent="0.25">
      <c r="A71" s="252"/>
      <c r="D71" s="11"/>
      <c r="E71" s="252"/>
      <c r="H71" s="120"/>
    </row>
    <row r="72" spans="1:8" x14ac:dyDescent="0.25">
      <c r="A72" s="252"/>
      <c r="D72" s="11"/>
      <c r="E72" s="252"/>
      <c r="H72" s="120"/>
    </row>
    <row r="73" spans="1:8" x14ac:dyDescent="0.25">
      <c r="A73" s="252"/>
      <c r="D73" s="11"/>
      <c r="E73" s="252"/>
      <c r="H73" s="120"/>
    </row>
    <row r="74" spans="1:8" x14ac:dyDescent="0.25">
      <c r="A74" s="252"/>
      <c r="D74" s="11"/>
      <c r="E74" s="252"/>
      <c r="H74" s="120"/>
    </row>
    <row r="75" spans="1:8" x14ac:dyDescent="0.25">
      <c r="A75" s="252"/>
      <c r="D75" s="11"/>
      <c r="E75" s="252"/>
      <c r="H75" s="120"/>
    </row>
    <row r="76" spans="1:8" x14ac:dyDescent="0.25">
      <c r="A76" s="252"/>
      <c r="D76" s="11"/>
      <c r="E76" s="252"/>
      <c r="H76" s="120"/>
    </row>
    <row r="77" spans="1:8" x14ac:dyDescent="0.25">
      <c r="A77" s="252"/>
      <c r="D77" s="11"/>
      <c r="E77" s="252"/>
      <c r="H77" s="120"/>
    </row>
    <row r="78" spans="1:8" x14ac:dyDescent="0.25">
      <c r="A78" s="252"/>
      <c r="D78" s="11"/>
      <c r="E78" s="252"/>
      <c r="H78" s="120"/>
    </row>
    <row r="79" spans="1:8" x14ac:dyDescent="0.25">
      <c r="A79" s="252"/>
      <c r="D79" s="11"/>
      <c r="E79" s="252"/>
      <c r="H79" s="120"/>
    </row>
    <row r="80" spans="1:8" x14ac:dyDescent="0.25">
      <c r="A80" s="252"/>
      <c r="D80" s="11"/>
      <c r="E80" s="252"/>
      <c r="H80" s="120"/>
    </row>
    <row r="81" spans="1:8" x14ac:dyDescent="0.25">
      <c r="A81" s="252"/>
      <c r="D81" s="11"/>
      <c r="E81" s="252"/>
      <c r="H81" s="120"/>
    </row>
    <row r="82" spans="1:8" x14ac:dyDescent="0.25">
      <c r="A82" s="252"/>
      <c r="D82" s="11"/>
      <c r="E82" s="252"/>
      <c r="H82" s="120"/>
    </row>
    <row r="83" spans="1:8" x14ac:dyDescent="0.25">
      <c r="A83" s="252"/>
      <c r="D83" s="11"/>
      <c r="E83" s="252"/>
      <c r="H83" s="120"/>
    </row>
    <row r="84" spans="1:8" x14ac:dyDescent="0.25">
      <c r="A84" s="252"/>
      <c r="D84" s="11"/>
      <c r="E84" s="252"/>
      <c r="H84" s="120"/>
    </row>
    <row r="85" spans="1:8" x14ac:dyDescent="0.25">
      <c r="A85" s="252"/>
      <c r="D85" s="11"/>
      <c r="E85" s="252"/>
      <c r="H85" s="120"/>
    </row>
    <row r="86" spans="1:8" x14ac:dyDescent="0.25">
      <c r="A86" s="252"/>
      <c r="D86" s="11"/>
      <c r="E86" s="252"/>
      <c r="H86" s="120"/>
    </row>
    <row r="87" spans="1:8" x14ac:dyDescent="0.25">
      <c r="A87" s="252"/>
      <c r="D87" s="11"/>
      <c r="E87" s="252"/>
      <c r="H87" s="120"/>
    </row>
    <row r="88" spans="1:8" x14ac:dyDescent="0.25">
      <c r="A88" s="252"/>
      <c r="D88" s="11"/>
      <c r="E88" s="252"/>
      <c r="H88" s="120"/>
    </row>
    <row r="89" spans="1:8" x14ac:dyDescent="0.25">
      <c r="A89" s="252"/>
      <c r="D89" s="11"/>
      <c r="E89" s="252"/>
      <c r="H89" s="120"/>
    </row>
    <row r="90" spans="1:8" x14ac:dyDescent="0.25">
      <c r="A90" s="252"/>
      <c r="D90" s="11"/>
      <c r="E90" s="252"/>
      <c r="H90" s="120"/>
    </row>
    <row r="91" spans="1:8" x14ac:dyDescent="0.25">
      <c r="A91" s="252"/>
      <c r="D91" s="11"/>
      <c r="E91" s="252"/>
      <c r="H91" s="120"/>
    </row>
    <row r="92" spans="1:8" x14ac:dyDescent="0.25">
      <c r="A92" s="252"/>
      <c r="D92" s="11"/>
      <c r="E92" s="252"/>
      <c r="H92" s="120"/>
    </row>
    <row r="93" spans="1:8" x14ac:dyDescent="0.25">
      <c r="A93" s="252"/>
      <c r="D93" s="11"/>
      <c r="E93" s="252"/>
      <c r="H93" s="120"/>
    </row>
    <row r="94" spans="1:8" x14ac:dyDescent="0.25">
      <c r="A94" s="252"/>
      <c r="D94" s="11"/>
      <c r="E94" s="252"/>
      <c r="H94" s="120"/>
    </row>
    <row r="95" spans="1:8" x14ac:dyDescent="0.25">
      <c r="A95" s="252"/>
      <c r="D95" s="11"/>
      <c r="E95" s="252"/>
      <c r="H95" s="120"/>
    </row>
    <row r="96" spans="1:8" x14ac:dyDescent="0.25">
      <c r="A96" s="252"/>
      <c r="D96" s="11"/>
      <c r="E96" s="252"/>
      <c r="H96" s="120"/>
    </row>
    <row r="97" spans="1:8" x14ac:dyDescent="0.25">
      <c r="A97" s="252"/>
      <c r="D97" s="11"/>
      <c r="E97" s="252"/>
      <c r="H97" s="120"/>
    </row>
    <row r="98" spans="1:8" x14ac:dyDescent="0.25">
      <c r="A98" s="252"/>
      <c r="D98" s="11"/>
      <c r="E98" s="252"/>
      <c r="H98" s="120"/>
    </row>
    <row r="99" spans="1:8" x14ac:dyDescent="0.25">
      <c r="A99" s="252"/>
      <c r="D99" s="11"/>
      <c r="E99" s="252"/>
      <c r="H99" s="120"/>
    </row>
    <row r="100" spans="1:8" x14ac:dyDescent="0.25">
      <c r="A100" s="252"/>
      <c r="D100" s="11"/>
      <c r="E100" s="252"/>
      <c r="H100" s="120"/>
    </row>
    <row r="101" spans="1:8" x14ac:dyDescent="0.25">
      <c r="A101" s="252"/>
      <c r="D101" s="11"/>
      <c r="E101" s="252"/>
      <c r="H101" s="120"/>
    </row>
    <row r="102" spans="1:8" x14ac:dyDescent="0.25">
      <c r="A102" s="252"/>
      <c r="D102" s="11"/>
      <c r="E102" s="252"/>
      <c r="H102" s="120"/>
    </row>
    <row r="103" spans="1:8" x14ac:dyDescent="0.25">
      <c r="A103" s="252"/>
      <c r="D103" s="11"/>
      <c r="E103" s="252"/>
      <c r="H103" s="120"/>
    </row>
    <row r="104" spans="1:8" x14ac:dyDescent="0.25">
      <c r="A104" s="252"/>
      <c r="D104" s="11"/>
      <c r="E104" s="252"/>
      <c r="H104" s="120"/>
    </row>
    <row r="105" spans="1:8" x14ac:dyDescent="0.25">
      <c r="A105" s="252"/>
      <c r="D105" s="11"/>
      <c r="E105" s="252"/>
      <c r="H105" s="12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42084-A222-401B-896C-2FFB7815072A}">
  <sheetPr codeName="Sheet23"/>
  <dimension ref="A1:AW151"/>
  <sheetViews>
    <sheetView showGridLines="0" showRowColHeaders="0" tabSelected="1" zoomScale="120" zoomScaleNormal="120" workbookViewId="0">
      <selection activeCell="C9" sqref="C9"/>
    </sheetView>
  </sheetViews>
  <sheetFormatPr defaultColWidth="9.140625" defaultRowHeight="15" x14ac:dyDescent="0.25"/>
  <cols>
    <col min="1" max="1" width="25.7109375" customWidth="1"/>
    <col min="2" max="9" width="26.7109375" customWidth="1"/>
    <col min="10" max="10" width="7.7109375" customWidth="1"/>
    <col min="11" max="11" width="23.85546875" customWidth="1"/>
    <col min="12" max="12" width="0.42578125" customWidth="1"/>
    <col min="13" max="13" width="21.7109375" customWidth="1"/>
    <col min="14" max="14" width="26.7109375" customWidth="1"/>
    <col min="15" max="15" width="9.28515625" customWidth="1"/>
    <col min="16" max="16" width="36.42578125" customWidth="1"/>
    <col min="17" max="17" width="29.7109375" hidden="1" customWidth="1"/>
    <col min="18" max="18" width="18.85546875" hidden="1" customWidth="1"/>
    <col min="19" max="19" width="1.140625" customWidth="1"/>
    <col min="20" max="20" width="2" customWidth="1"/>
    <col min="21" max="21" width="2.28515625" customWidth="1"/>
    <col min="22" max="22" width="2.140625" customWidth="1"/>
    <col min="23" max="23" width="2" customWidth="1"/>
    <col min="36" max="36" width="11.42578125" customWidth="1"/>
    <col min="37" max="37" width="9.140625" style="113"/>
    <col min="38" max="38" width="9.42578125" bestFit="1" customWidth="1"/>
    <col min="42" max="44" width="9.140625" hidden="1" customWidth="1"/>
    <col min="45" max="45" width="0" hidden="1" customWidth="1"/>
    <col min="49" max="49" width="9.140625" style="113"/>
  </cols>
  <sheetData>
    <row r="1" spans="1:45" ht="2.4500000000000002" customHeight="1" x14ac:dyDescent="0.25">
      <c r="A1" s="46"/>
      <c r="AP1">
        <v>29</v>
      </c>
      <c r="AQ1" t="str">
        <f>"Chart "&amp;AP1</f>
        <v>Chart 29</v>
      </c>
    </row>
    <row r="2" spans="1:45" ht="65.099999999999994" customHeight="1" x14ac:dyDescent="0.25">
      <c r="A2" s="114"/>
      <c r="B2" s="144" t="s">
        <v>507</v>
      </c>
    </row>
    <row r="3" spans="1:45" ht="3" customHeight="1" x14ac:dyDescent="0.25">
      <c r="A3" s="114"/>
      <c r="B3" s="115"/>
    </row>
    <row r="4" spans="1:45" ht="4.5" customHeight="1" x14ac:dyDescent="0.25">
      <c r="A4" s="116"/>
      <c r="B4" s="47"/>
      <c r="C4" s="47"/>
      <c r="D4" s="47"/>
      <c r="E4" s="47"/>
      <c r="F4" s="47"/>
      <c r="G4" s="47"/>
      <c r="H4" s="47"/>
    </row>
    <row r="5" spans="1:45" ht="30" customHeight="1" x14ac:dyDescent="0.25">
      <c r="A5" s="114"/>
      <c r="B5" s="260" t="s">
        <v>508</v>
      </c>
      <c r="C5" s="260"/>
      <c r="D5" s="260"/>
      <c r="E5" s="260"/>
      <c r="F5" s="260"/>
      <c r="G5" s="260"/>
      <c r="H5" s="260"/>
      <c r="I5" s="161"/>
    </row>
    <row r="6" spans="1:45" ht="24.95" customHeight="1" x14ac:dyDescent="0.3">
      <c r="A6" s="114"/>
      <c r="B6" s="48" t="s">
        <v>450</v>
      </c>
    </row>
    <row r="7" spans="1:45" ht="3" customHeight="1" x14ac:dyDescent="0.3">
      <c r="A7" s="114"/>
      <c r="B7" s="49"/>
      <c r="C7" s="25"/>
      <c r="D7" s="25"/>
      <c r="E7" s="25"/>
      <c r="F7" s="25"/>
    </row>
    <row r="8" spans="1:45" ht="15" customHeight="1" x14ac:dyDescent="0.25">
      <c r="A8" s="114"/>
      <c r="B8" s="166" t="s">
        <v>281</v>
      </c>
      <c r="C8" s="166" t="s">
        <v>282</v>
      </c>
      <c r="D8" s="166" t="s">
        <v>283</v>
      </c>
      <c r="E8" s="166" t="s">
        <v>491</v>
      </c>
      <c r="F8" s="165" t="s">
        <v>492</v>
      </c>
    </row>
    <row r="9" spans="1:45" ht="18.75" customHeight="1" x14ac:dyDescent="0.25">
      <c r="A9" s="114"/>
      <c r="B9" s="86">
        <f>Scope!C9</f>
        <v>0</v>
      </c>
      <c r="C9" s="253">
        <f>Scope!C20</f>
        <v>0</v>
      </c>
      <c r="D9" s="86" t="str">
        <f>IF(Scope!C18="Please select","N/A",Scope!C18)</f>
        <v>N/A</v>
      </c>
      <c r="E9" s="88" t="str">
        <f>Communicate!B9</f>
        <v>N/A</v>
      </c>
      <c r="F9" s="88" t="str">
        <f>'Treatment (Summary)'!F9</f>
        <v>N/A</v>
      </c>
    </row>
    <row r="10" spans="1:45" ht="15" customHeight="1" x14ac:dyDescent="0.25">
      <c r="A10" s="114"/>
      <c r="B10" s="125"/>
      <c r="C10" s="125"/>
      <c r="D10" s="125"/>
      <c r="E10" s="126"/>
      <c r="F10" s="126"/>
    </row>
    <row r="11" spans="1:45" ht="15" customHeight="1" x14ac:dyDescent="0.25">
      <c r="A11" s="114"/>
      <c r="B11" s="168" t="s">
        <v>493</v>
      </c>
      <c r="C11" s="168" t="s">
        <v>494</v>
      </c>
      <c r="D11" s="168" t="s">
        <v>495</v>
      </c>
      <c r="E11" s="164" t="s">
        <v>496</v>
      </c>
    </row>
    <row r="12" spans="1:45" ht="15" customHeight="1" x14ac:dyDescent="0.25">
      <c r="A12" s="114"/>
      <c r="B12" s="86">
        <f>'Treatment (Summary)'!B12</f>
        <v>0</v>
      </c>
      <c r="C12" s="88">
        <f>'Treatment (Summary)'!C12</f>
        <v>0</v>
      </c>
      <c r="D12" s="88">
        <f>'Treatment (Summary)'!D12</f>
        <v>0</v>
      </c>
      <c r="E12" s="87" t="str">
        <f>IF(D12&gt;C12,"Saving exceeds cost","Cost exceeds savings")</f>
        <v>Cost exceeds savings</v>
      </c>
      <c r="F12" s="139"/>
    </row>
    <row r="13" spans="1:45" ht="15" customHeight="1" thickBot="1" x14ac:dyDescent="0.3">
      <c r="A13" s="114"/>
      <c r="B13" s="125"/>
      <c r="C13" s="126"/>
      <c r="D13" s="126"/>
      <c r="E13" s="138"/>
      <c r="F13" s="139"/>
    </row>
    <row r="14" spans="1:45" ht="24.95" customHeight="1" x14ac:dyDescent="0.35">
      <c r="A14" s="114"/>
      <c r="B14" s="48" t="s">
        <v>509</v>
      </c>
      <c r="C14" s="90"/>
      <c r="D14" s="90"/>
      <c r="E14" s="90"/>
      <c r="F14" s="48" t="s">
        <v>510</v>
      </c>
      <c r="AP14" s="117"/>
      <c r="AQ14" s="117"/>
      <c r="AR14" s="117"/>
      <c r="AS14" s="117"/>
    </row>
    <row r="15" spans="1:45" ht="3" customHeight="1" x14ac:dyDescent="0.25">
      <c r="A15" s="118"/>
      <c r="B15" s="25"/>
      <c r="C15" s="25"/>
      <c r="D15" s="25"/>
      <c r="E15" s="25"/>
      <c r="F15" s="25"/>
      <c r="G15" s="25"/>
      <c r="H15" s="25"/>
      <c r="I15" s="25"/>
      <c r="AH15" s="5"/>
      <c r="AI15" s="5"/>
      <c r="AJ15" s="5"/>
      <c r="AK15" s="119"/>
      <c r="AL15" s="5"/>
      <c r="AR15" s="120"/>
      <c r="AS15" s="113"/>
    </row>
    <row r="16" spans="1:45" x14ac:dyDescent="0.25">
      <c r="A16" s="118"/>
      <c r="AL16" s="113"/>
      <c r="AR16" s="120"/>
      <c r="AS16" s="113"/>
    </row>
    <row r="17" spans="1:45" x14ac:dyDescent="0.25">
      <c r="A17" s="118"/>
      <c r="AL17" s="113"/>
      <c r="AR17" s="120"/>
      <c r="AS17" s="113"/>
    </row>
    <row r="18" spans="1:45" x14ac:dyDescent="0.25">
      <c r="A18" s="118"/>
      <c r="AL18" s="113"/>
      <c r="AR18" s="120"/>
      <c r="AS18" s="113"/>
    </row>
    <row r="19" spans="1:45" x14ac:dyDescent="0.25">
      <c r="A19" s="118"/>
      <c r="AL19" s="113"/>
      <c r="AR19" s="120"/>
      <c r="AS19" s="113"/>
    </row>
    <row r="20" spans="1:45" x14ac:dyDescent="0.25">
      <c r="A20" s="118"/>
      <c r="AL20" s="113"/>
      <c r="AR20" s="120"/>
      <c r="AS20" s="113"/>
    </row>
    <row r="21" spans="1:45" x14ac:dyDescent="0.25">
      <c r="A21" s="118"/>
      <c r="AL21" s="113"/>
      <c r="AR21" s="120"/>
      <c r="AS21" s="113"/>
    </row>
    <row r="22" spans="1:45" x14ac:dyDescent="0.25">
      <c r="A22" s="118"/>
      <c r="AL22" s="113"/>
      <c r="AR22" s="120"/>
      <c r="AS22" s="113"/>
    </row>
    <row r="23" spans="1:45" x14ac:dyDescent="0.25">
      <c r="A23" s="118"/>
      <c r="AL23" s="113"/>
      <c r="AR23" s="120"/>
      <c r="AS23" s="113"/>
    </row>
    <row r="24" spans="1:45" x14ac:dyDescent="0.25">
      <c r="A24" s="118"/>
      <c r="AL24" s="113"/>
      <c r="AR24" s="120"/>
      <c r="AS24" s="113"/>
    </row>
    <row r="25" spans="1:45" x14ac:dyDescent="0.25">
      <c r="A25" s="118"/>
      <c r="AL25" s="113"/>
      <c r="AR25" s="120"/>
      <c r="AS25" s="113"/>
    </row>
    <row r="26" spans="1:45" x14ac:dyDescent="0.25">
      <c r="A26" s="118"/>
      <c r="AL26" s="113"/>
      <c r="AR26" s="120"/>
      <c r="AS26" s="113"/>
    </row>
    <row r="27" spans="1:45" x14ac:dyDescent="0.25">
      <c r="A27" s="118"/>
      <c r="AL27" s="113"/>
      <c r="AR27" s="120"/>
      <c r="AS27" s="113"/>
    </row>
    <row r="28" spans="1:45" x14ac:dyDescent="0.25">
      <c r="A28" s="118"/>
      <c r="AL28" s="113"/>
      <c r="AR28" s="120"/>
      <c r="AS28" s="113"/>
    </row>
    <row r="29" spans="1:45" x14ac:dyDescent="0.25">
      <c r="A29" s="118"/>
      <c r="AL29" s="113"/>
      <c r="AR29" s="120"/>
      <c r="AS29" s="113"/>
    </row>
    <row r="30" spans="1:45" x14ac:dyDescent="0.25">
      <c r="A30" s="118"/>
      <c r="AL30" s="113"/>
      <c r="AR30" s="120"/>
      <c r="AS30" s="113"/>
    </row>
    <row r="31" spans="1:45" x14ac:dyDescent="0.25">
      <c r="A31" s="118"/>
      <c r="AL31" s="113"/>
      <c r="AR31" s="120"/>
      <c r="AS31" s="113"/>
    </row>
    <row r="32" spans="1:45" x14ac:dyDescent="0.25">
      <c r="A32" s="118"/>
      <c r="AL32" s="113"/>
      <c r="AR32" s="120"/>
      <c r="AS32" s="113"/>
    </row>
    <row r="33" spans="1:45" x14ac:dyDescent="0.25">
      <c r="A33" s="118"/>
      <c r="AL33" s="113"/>
      <c r="AR33" s="120"/>
      <c r="AS33" s="113"/>
    </row>
    <row r="34" spans="1:45" x14ac:dyDescent="0.25">
      <c r="A34" s="118"/>
      <c r="AL34" s="113"/>
      <c r="AR34" s="120"/>
      <c r="AS34" s="113"/>
    </row>
    <row r="35" spans="1:45" x14ac:dyDescent="0.25">
      <c r="A35" s="118"/>
      <c r="AL35" s="113"/>
      <c r="AR35" s="120"/>
      <c r="AS35" s="113"/>
    </row>
    <row r="36" spans="1:45" x14ac:dyDescent="0.25">
      <c r="A36" s="118"/>
      <c r="AL36" s="113"/>
      <c r="AR36" s="120"/>
      <c r="AS36" s="113"/>
    </row>
    <row r="37" spans="1:45" x14ac:dyDescent="0.25">
      <c r="A37" s="118"/>
      <c r="AL37" s="113"/>
      <c r="AR37" s="120"/>
      <c r="AS37" s="113"/>
    </row>
    <row r="38" spans="1:45" x14ac:dyDescent="0.25">
      <c r="A38" s="118"/>
      <c r="AL38" s="113"/>
      <c r="AR38" s="120"/>
      <c r="AS38" s="113"/>
    </row>
    <row r="39" spans="1:45" x14ac:dyDescent="0.25">
      <c r="A39" s="118"/>
      <c r="AL39" s="113"/>
      <c r="AR39" s="120"/>
      <c r="AS39" s="113"/>
    </row>
    <row r="40" spans="1:45" x14ac:dyDescent="0.25">
      <c r="A40" s="118"/>
      <c r="AL40" s="113"/>
      <c r="AR40" s="120"/>
      <c r="AS40" s="113"/>
    </row>
    <row r="41" spans="1:45" x14ac:dyDescent="0.25">
      <c r="A41" s="118"/>
      <c r="AL41" s="113"/>
      <c r="AR41" s="120"/>
      <c r="AS41" s="113"/>
    </row>
    <row r="42" spans="1:45" x14ac:dyDescent="0.25">
      <c r="A42" s="118"/>
      <c r="AL42" s="113"/>
      <c r="AR42" s="120"/>
      <c r="AS42" s="113"/>
    </row>
    <row r="43" spans="1:45" x14ac:dyDescent="0.25">
      <c r="A43" s="118"/>
      <c r="AL43" s="113"/>
      <c r="AR43" s="120"/>
      <c r="AS43" s="113"/>
    </row>
    <row r="44" spans="1:45" ht="24.95" customHeight="1" x14ac:dyDescent="0.3">
      <c r="A44" s="118"/>
      <c r="B44" s="48" t="s">
        <v>511</v>
      </c>
      <c r="AL44" s="113"/>
      <c r="AR44" s="120"/>
      <c r="AS44" s="113"/>
    </row>
    <row r="45" spans="1:45" ht="3" customHeight="1" x14ac:dyDescent="0.25">
      <c r="A45" s="118"/>
      <c r="B45" s="25"/>
      <c r="C45" s="25"/>
      <c r="D45" s="25"/>
      <c r="E45" s="25"/>
      <c r="F45" s="25"/>
      <c r="G45" s="25"/>
      <c r="H45" s="25"/>
      <c r="I45" s="25"/>
      <c r="AL45" s="113"/>
      <c r="AR45" s="120"/>
      <c r="AS45" s="113"/>
    </row>
    <row r="46" spans="1:45" x14ac:dyDescent="0.25">
      <c r="A46" s="118"/>
      <c r="B46" t="s">
        <v>602</v>
      </c>
      <c r="AL46" s="113"/>
      <c r="AR46" s="120"/>
      <c r="AS46" s="113"/>
    </row>
    <row r="47" spans="1:45" x14ac:dyDescent="0.25">
      <c r="A47" s="118"/>
      <c r="AL47" s="113"/>
      <c r="AR47" s="120"/>
      <c r="AS47" s="113"/>
    </row>
    <row r="48" spans="1:45" x14ac:dyDescent="0.25">
      <c r="A48" s="118"/>
      <c r="AL48" s="113"/>
      <c r="AR48" s="120"/>
      <c r="AS48" s="113"/>
    </row>
    <row r="49" spans="1:45" x14ac:dyDescent="0.25">
      <c r="A49" s="118"/>
      <c r="AL49" s="113"/>
      <c r="AR49" s="120"/>
      <c r="AS49" s="113"/>
    </row>
    <row r="50" spans="1:45" x14ac:dyDescent="0.25">
      <c r="A50" s="118"/>
      <c r="AL50" s="113"/>
      <c r="AR50" s="120"/>
      <c r="AS50" s="113"/>
    </row>
    <row r="51" spans="1:45" x14ac:dyDescent="0.25">
      <c r="A51" s="118"/>
      <c r="AL51" s="113"/>
      <c r="AR51" s="120"/>
      <c r="AS51" s="113"/>
    </row>
    <row r="52" spans="1:45" x14ac:dyDescent="0.25">
      <c r="A52" s="118"/>
      <c r="AL52" s="113"/>
      <c r="AR52" s="120"/>
      <c r="AS52" s="113"/>
    </row>
    <row r="53" spans="1:45" x14ac:dyDescent="0.25">
      <c r="A53" s="118"/>
      <c r="AL53" s="113"/>
      <c r="AR53" s="120"/>
      <c r="AS53" s="113"/>
    </row>
    <row r="54" spans="1:45" x14ac:dyDescent="0.25">
      <c r="A54" s="118"/>
      <c r="AL54" s="113"/>
      <c r="AR54" s="120"/>
      <c r="AS54" s="113"/>
    </row>
    <row r="55" spans="1:45" x14ac:dyDescent="0.25">
      <c r="A55" s="118"/>
      <c r="AL55" s="113"/>
      <c r="AR55" s="120"/>
      <c r="AS55" s="113"/>
    </row>
    <row r="56" spans="1:45" x14ac:dyDescent="0.25">
      <c r="A56" s="118"/>
      <c r="AL56" s="113"/>
      <c r="AR56" s="120"/>
      <c r="AS56" s="113"/>
    </row>
    <row r="57" spans="1:45" x14ac:dyDescent="0.25">
      <c r="A57" s="118"/>
      <c r="AL57" s="113"/>
      <c r="AR57" s="120"/>
      <c r="AS57" s="113"/>
    </row>
    <row r="58" spans="1:45" x14ac:dyDescent="0.25">
      <c r="A58" s="118"/>
      <c r="AL58" s="113"/>
      <c r="AR58" s="120"/>
      <c r="AS58" s="113"/>
    </row>
    <row r="59" spans="1:45" x14ac:dyDescent="0.25">
      <c r="A59" s="118"/>
      <c r="AL59" s="113"/>
      <c r="AR59" s="120"/>
      <c r="AS59" s="113"/>
    </row>
    <row r="60" spans="1:45" x14ac:dyDescent="0.25">
      <c r="A60" s="118"/>
      <c r="AL60" s="113"/>
      <c r="AR60" s="120"/>
      <c r="AS60" s="113"/>
    </row>
    <row r="61" spans="1:45" x14ac:dyDescent="0.25">
      <c r="A61" s="118"/>
      <c r="AL61" s="113"/>
      <c r="AR61" s="120"/>
      <c r="AS61" s="113"/>
    </row>
    <row r="62" spans="1:45" x14ac:dyDescent="0.25">
      <c r="A62" s="118"/>
      <c r="AL62" s="113"/>
      <c r="AR62" s="120"/>
      <c r="AS62" s="113"/>
    </row>
    <row r="63" spans="1:45" x14ac:dyDescent="0.25">
      <c r="A63" s="118"/>
      <c r="AL63" s="113"/>
      <c r="AR63" s="120"/>
      <c r="AS63" s="113"/>
    </row>
    <row r="64" spans="1:45" x14ac:dyDescent="0.25">
      <c r="A64" s="118"/>
      <c r="AL64" s="113"/>
      <c r="AR64" s="120"/>
      <c r="AS64" s="113"/>
    </row>
    <row r="65" spans="1:49" x14ac:dyDescent="0.25">
      <c r="A65" s="118"/>
      <c r="AL65" s="113"/>
      <c r="AR65" s="120"/>
      <c r="AS65" s="113"/>
    </row>
    <row r="66" spans="1:49" x14ac:dyDescent="0.25">
      <c r="A66" s="118"/>
      <c r="AL66" s="113"/>
      <c r="AR66" s="120"/>
      <c r="AS66" s="113"/>
    </row>
    <row r="67" spans="1:49" x14ac:dyDescent="0.25">
      <c r="A67" s="118"/>
      <c r="AL67" s="113"/>
      <c r="AR67" s="120"/>
      <c r="AS67" s="113"/>
    </row>
    <row r="68" spans="1:49" x14ac:dyDescent="0.25">
      <c r="A68" s="118"/>
      <c r="AL68" s="113"/>
      <c r="AR68" s="120"/>
      <c r="AS68" s="113"/>
    </row>
    <row r="69" spans="1:49" x14ac:dyDescent="0.25">
      <c r="A69" s="118"/>
      <c r="AL69" s="113"/>
      <c r="AR69" s="120"/>
      <c r="AS69" s="113"/>
    </row>
    <row r="70" spans="1:49" x14ac:dyDescent="0.25">
      <c r="A70" s="118"/>
      <c r="AL70" s="113"/>
      <c r="AR70" s="120"/>
      <c r="AS70" s="113"/>
    </row>
    <row r="71" spans="1:49" x14ac:dyDescent="0.25">
      <c r="A71" s="118"/>
      <c r="AL71" s="113"/>
      <c r="AR71" s="120"/>
      <c r="AS71" s="113"/>
    </row>
    <row r="72" spans="1:49" x14ac:dyDescent="0.25">
      <c r="A72" s="118"/>
      <c r="AL72" s="113"/>
      <c r="AR72" s="120"/>
      <c r="AS72" s="113"/>
    </row>
    <row r="73" spans="1:49" x14ac:dyDescent="0.25">
      <c r="AK73"/>
      <c r="AW73"/>
    </row>
    <row r="74" spans="1:49" ht="24.95" customHeight="1" x14ac:dyDescent="0.25">
      <c r="AK74"/>
      <c r="AW74"/>
    </row>
    <row r="75" spans="1:49" ht="3" customHeight="1" x14ac:dyDescent="0.25">
      <c r="AK75"/>
      <c r="AW75"/>
    </row>
    <row r="76" spans="1:49" ht="15" customHeight="1" x14ac:dyDescent="0.25">
      <c r="AK76"/>
      <c r="AW76"/>
    </row>
    <row r="77" spans="1:49" ht="30" customHeight="1" x14ac:dyDescent="0.25">
      <c r="AK77"/>
      <c r="AW77"/>
    </row>
    <row r="78" spans="1:49" x14ac:dyDescent="0.25">
      <c r="AK78"/>
      <c r="AW78"/>
    </row>
    <row r="79" spans="1:49" ht="3" customHeight="1" x14ac:dyDescent="0.25">
      <c r="AK79"/>
      <c r="AW79"/>
    </row>
    <row r="80" spans="1:49" x14ac:dyDescent="0.25">
      <c r="AK80"/>
      <c r="AW80"/>
    </row>
    <row r="81" spans="1:49" x14ac:dyDescent="0.25">
      <c r="AK81"/>
      <c r="AW81"/>
    </row>
    <row r="82" spans="1:49" ht="30" customHeight="1" x14ac:dyDescent="0.25">
      <c r="AK82"/>
      <c r="AW82"/>
    </row>
    <row r="83" spans="1:49" ht="3" customHeight="1" x14ac:dyDescent="0.25">
      <c r="A83" s="118"/>
      <c r="AL83" s="113"/>
      <c r="AR83" s="120"/>
      <c r="AS83" s="113"/>
    </row>
    <row r="84" spans="1:49" ht="15" customHeight="1" x14ac:dyDescent="0.25">
      <c r="A84" s="118"/>
      <c r="Q84" t="s">
        <v>48</v>
      </c>
      <c r="R84" t="s">
        <v>451</v>
      </c>
      <c r="AL84" s="113"/>
      <c r="AR84" s="120"/>
      <c r="AS84" s="113"/>
    </row>
    <row r="85" spans="1:49" ht="15" customHeight="1" x14ac:dyDescent="0.25">
      <c r="A85" s="118"/>
      <c r="Q85" t="s">
        <v>38</v>
      </c>
      <c r="R85" t="s">
        <v>452</v>
      </c>
      <c r="AL85" s="113"/>
      <c r="AR85" s="120"/>
      <c r="AS85" s="113"/>
    </row>
    <row r="86" spans="1:49" ht="30" customHeight="1" x14ac:dyDescent="0.25">
      <c r="A86" s="118"/>
      <c r="AL86" s="113"/>
      <c r="AR86" s="120"/>
      <c r="AS86" s="113"/>
    </row>
    <row r="87" spans="1:49" ht="3" customHeight="1" x14ac:dyDescent="0.25">
      <c r="A87" s="118"/>
      <c r="AL87" s="113"/>
      <c r="AR87" s="120"/>
      <c r="AS87" s="113"/>
    </row>
    <row r="88" spans="1:49" x14ac:dyDescent="0.25">
      <c r="A88" s="118"/>
      <c r="AL88" s="113"/>
      <c r="AR88" s="120"/>
      <c r="AS88" s="113"/>
    </row>
    <row r="89" spans="1:49" x14ac:dyDescent="0.25">
      <c r="A89" s="118"/>
      <c r="AL89" s="113"/>
      <c r="AR89" s="120"/>
      <c r="AS89" s="113"/>
    </row>
    <row r="90" spans="1:49" ht="3" customHeight="1" x14ac:dyDescent="0.25">
      <c r="A90" s="118"/>
      <c r="AL90" s="113"/>
      <c r="AR90" s="120"/>
      <c r="AS90" s="113"/>
    </row>
    <row r="91" spans="1:49" ht="15" customHeight="1" x14ac:dyDescent="0.25">
      <c r="A91" s="118"/>
      <c r="AL91" s="113"/>
      <c r="AR91" s="120"/>
      <c r="AS91" s="113"/>
    </row>
    <row r="92" spans="1:49" ht="15" customHeight="1" x14ac:dyDescent="0.25">
      <c r="A92" s="118"/>
      <c r="AL92" s="113"/>
      <c r="AR92" s="120"/>
      <c r="AS92" s="113"/>
    </row>
    <row r="93" spans="1:49" x14ac:dyDescent="0.25">
      <c r="A93" s="118"/>
      <c r="AL93" s="113"/>
      <c r="AR93" s="120"/>
      <c r="AS93" s="113"/>
    </row>
    <row r="94" spans="1:49" x14ac:dyDescent="0.25">
      <c r="A94" s="118"/>
      <c r="AL94" s="113"/>
      <c r="AR94" s="120"/>
      <c r="AS94" s="113"/>
    </row>
    <row r="95" spans="1:49" ht="15" customHeight="1" x14ac:dyDescent="0.25">
      <c r="A95" s="118"/>
      <c r="AL95" s="113"/>
      <c r="AR95" s="120"/>
      <c r="AS95" s="113"/>
    </row>
    <row r="96" spans="1:49" x14ac:dyDescent="0.25">
      <c r="A96" s="118"/>
      <c r="AL96" s="113"/>
      <c r="AR96" s="120"/>
      <c r="AS96" s="113"/>
    </row>
    <row r="97" spans="1:45" x14ac:dyDescent="0.25">
      <c r="A97" s="118"/>
      <c r="AL97" s="113"/>
      <c r="AR97" s="120"/>
      <c r="AS97" s="113"/>
    </row>
    <row r="98" spans="1:45" x14ac:dyDescent="0.25">
      <c r="A98" s="118"/>
      <c r="AL98" s="113"/>
      <c r="AR98" s="120"/>
      <c r="AS98" s="113"/>
    </row>
    <row r="99" spans="1:45" x14ac:dyDescent="0.25">
      <c r="A99" s="118"/>
      <c r="AL99" s="113"/>
      <c r="AR99" s="120"/>
      <c r="AS99" s="113"/>
    </row>
    <row r="100" spans="1:45" x14ac:dyDescent="0.25">
      <c r="A100" s="118"/>
      <c r="AL100" s="113"/>
      <c r="AR100" s="120"/>
      <c r="AS100" s="113"/>
    </row>
    <row r="101" spans="1:45" x14ac:dyDescent="0.25">
      <c r="A101" s="118"/>
      <c r="AL101" s="113"/>
      <c r="AR101" s="120"/>
      <c r="AS101" s="113"/>
    </row>
    <row r="102" spans="1:45" x14ac:dyDescent="0.25">
      <c r="A102" s="118"/>
      <c r="AL102" s="113"/>
      <c r="AR102" s="120"/>
      <c r="AS102" s="113"/>
    </row>
    <row r="103" spans="1:45" x14ac:dyDescent="0.25">
      <c r="A103" s="118"/>
      <c r="AL103" s="113"/>
      <c r="AR103" s="120"/>
      <c r="AS103" s="113"/>
    </row>
    <row r="104" spans="1:45" x14ac:dyDescent="0.25">
      <c r="A104" s="118"/>
      <c r="AL104" s="113"/>
      <c r="AR104" s="120"/>
      <c r="AS104" s="113"/>
    </row>
    <row r="105" spans="1:45" x14ac:dyDescent="0.25">
      <c r="A105" s="118"/>
      <c r="AL105" s="113"/>
      <c r="AR105" s="120"/>
      <c r="AS105" s="113"/>
    </row>
    <row r="106" spans="1:45" x14ac:dyDescent="0.25">
      <c r="A106" s="118"/>
      <c r="AL106" s="113"/>
      <c r="AR106" s="120"/>
      <c r="AS106" s="113"/>
    </row>
    <row r="107" spans="1:45" x14ac:dyDescent="0.25">
      <c r="A107" s="118"/>
      <c r="AL107" s="113"/>
      <c r="AR107" s="120"/>
      <c r="AS107" s="113"/>
    </row>
    <row r="108" spans="1:45" x14ac:dyDescent="0.25">
      <c r="A108" s="118"/>
      <c r="AL108" s="113"/>
      <c r="AR108" s="120"/>
      <c r="AS108" s="113"/>
    </row>
    <row r="109" spans="1:45" x14ac:dyDescent="0.25">
      <c r="A109" s="118"/>
      <c r="AL109" s="113"/>
      <c r="AR109" s="120"/>
      <c r="AS109" s="113"/>
    </row>
    <row r="110" spans="1:45" x14ac:dyDescent="0.25">
      <c r="A110" s="118"/>
      <c r="AL110" s="113"/>
      <c r="AR110" s="120"/>
      <c r="AS110" s="113"/>
    </row>
    <row r="111" spans="1:45" x14ac:dyDescent="0.25">
      <c r="A111" s="118"/>
      <c r="AL111" s="113"/>
      <c r="AR111" s="120"/>
      <c r="AS111" s="113"/>
    </row>
    <row r="112" spans="1:45" x14ac:dyDescent="0.25">
      <c r="A112" s="118"/>
      <c r="AL112" s="113"/>
      <c r="AR112" s="120"/>
      <c r="AS112" s="113"/>
    </row>
    <row r="113" spans="1:45" x14ac:dyDescent="0.25">
      <c r="A113" s="118"/>
      <c r="AL113" s="113"/>
      <c r="AR113" s="120"/>
      <c r="AS113" s="113"/>
    </row>
    <row r="114" spans="1:45" x14ac:dyDescent="0.25">
      <c r="A114" s="118"/>
      <c r="AL114" s="113"/>
      <c r="AR114" s="120"/>
      <c r="AS114" s="113"/>
    </row>
    <row r="115" spans="1:45" x14ac:dyDescent="0.25">
      <c r="A115" s="118"/>
      <c r="AL115" s="113"/>
      <c r="AR115" s="120"/>
      <c r="AS115" s="113"/>
    </row>
    <row r="116" spans="1:45" x14ac:dyDescent="0.25">
      <c r="A116" s="118"/>
      <c r="AL116" s="113"/>
      <c r="AR116" s="120"/>
      <c r="AS116" s="113"/>
    </row>
    <row r="117" spans="1:45" x14ac:dyDescent="0.25">
      <c r="A117" s="118"/>
      <c r="AL117" s="113"/>
      <c r="AR117" s="120"/>
      <c r="AS117" s="113"/>
    </row>
    <row r="118" spans="1:45" x14ac:dyDescent="0.25">
      <c r="A118" s="118"/>
      <c r="AL118" s="113"/>
      <c r="AR118" s="120"/>
      <c r="AS118" s="113"/>
    </row>
    <row r="119" spans="1:45" x14ac:dyDescent="0.25">
      <c r="A119" s="118"/>
      <c r="AL119" s="113"/>
      <c r="AR119" s="120"/>
      <c r="AS119" s="113"/>
    </row>
    <row r="120" spans="1:45" x14ac:dyDescent="0.25">
      <c r="A120" s="118"/>
      <c r="AL120" s="113"/>
      <c r="AR120" s="120"/>
      <c r="AS120" s="113"/>
    </row>
    <row r="121" spans="1:45" x14ac:dyDescent="0.25">
      <c r="A121" s="118"/>
      <c r="AL121" s="113"/>
      <c r="AR121" s="120"/>
      <c r="AS121" s="113"/>
    </row>
    <row r="122" spans="1:45" x14ac:dyDescent="0.25">
      <c r="A122" s="118"/>
      <c r="AL122" s="113"/>
      <c r="AR122" s="120"/>
      <c r="AS122" s="113"/>
    </row>
    <row r="123" spans="1:45" x14ac:dyDescent="0.25">
      <c r="A123" s="118"/>
      <c r="AL123" s="113"/>
      <c r="AR123" s="120"/>
      <c r="AS123" s="113"/>
    </row>
    <row r="124" spans="1:45" x14ac:dyDescent="0.25">
      <c r="A124" s="118"/>
      <c r="AL124" s="113"/>
      <c r="AR124" s="120"/>
      <c r="AS124" s="113"/>
    </row>
    <row r="125" spans="1:45" x14ac:dyDescent="0.25">
      <c r="A125" s="118"/>
      <c r="AL125" s="113"/>
      <c r="AR125" s="120"/>
      <c r="AS125" s="113"/>
    </row>
    <row r="126" spans="1:45" x14ac:dyDescent="0.25">
      <c r="A126" s="118"/>
      <c r="AL126" s="113"/>
      <c r="AR126" s="120"/>
      <c r="AS126" s="113"/>
    </row>
    <row r="127" spans="1:45" x14ac:dyDescent="0.25">
      <c r="A127" s="118"/>
      <c r="AL127" s="113"/>
      <c r="AR127" s="120"/>
      <c r="AS127" s="113"/>
    </row>
    <row r="128" spans="1:45" x14ac:dyDescent="0.25">
      <c r="A128" s="118"/>
      <c r="AL128" s="113"/>
      <c r="AR128" s="120"/>
      <c r="AS128" s="113"/>
    </row>
    <row r="129" spans="1:45" x14ac:dyDescent="0.25">
      <c r="A129" s="118"/>
      <c r="AL129" s="113"/>
      <c r="AR129" s="120"/>
      <c r="AS129" s="113"/>
    </row>
    <row r="130" spans="1:45" x14ac:dyDescent="0.25">
      <c r="A130" s="118"/>
      <c r="AL130" s="113"/>
      <c r="AR130" s="120"/>
      <c r="AS130" s="113"/>
    </row>
    <row r="131" spans="1:45" x14ac:dyDescent="0.25">
      <c r="A131" s="118"/>
      <c r="AL131" s="113"/>
      <c r="AR131" s="120"/>
      <c r="AS131" s="113"/>
    </row>
    <row r="132" spans="1:45" x14ac:dyDescent="0.25">
      <c r="A132" s="118"/>
      <c r="AL132" s="113"/>
      <c r="AR132" s="120"/>
      <c r="AS132" s="113"/>
    </row>
    <row r="133" spans="1:45" x14ac:dyDescent="0.25">
      <c r="A133" s="118"/>
      <c r="AL133" s="113"/>
      <c r="AR133" s="120"/>
      <c r="AS133" s="113"/>
    </row>
    <row r="134" spans="1:45" x14ac:dyDescent="0.25">
      <c r="A134" s="118"/>
      <c r="AL134" s="113"/>
      <c r="AR134" s="120"/>
      <c r="AS134" s="113"/>
    </row>
    <row r="135" spans="1:45" x14ac:dyDescent="0.25">
      <c r="A135" s="118"/>
      <c r="AL135" s="113"/>
      <c r="AR135" s="120"/>
      <c r="AS135" s="113"/>
    </row>
    <row r="136" spans="1:45" x14ac:dyDescent="0.25">
      <c r="A136" s="118"/>
      <c r="AL136" s="113"/>
      <c r="AR136" s="120"/>
      <c r="AS136" s="113"/>
    </row>
    <row r="137" spans="1:45" x14ac:dyDescent="0.25">
      <c r="A137" s="118"/>
      <c r="AL137" s="113"/>
      <c r="AR137" s="120"/>
      <c r="AS137" s="113"/>
    </row>
    <row r="138" spans="1:45" x14ac:dyDescent="0.25">
      <c r="A138" s="118"/>
      <c r="AL138" s="113"/>
      <c r="AR138" s="120"/>
      <c r="AS138" s="113"/>
    </row>
    <row r="139" spans="1:45" x14ac:dyDescent="0.25">
      <c r="A139" s="118"/>
      <c r="AL139" s="113"/>
      <c r="AR139" s="120"/>
      <c r="AS139" s="113"/>
    </row>
    <row r="140" spans="1:45" x14ac:dyDescent="0.25">
      <c r="AL140" s="113"/>
      <c r="AR140" s="120"/>
      <c r="AS140" s="113"/>
    </row>
    <row r="141" spans="1:45" x14ac:dyDescent="0.25">
      <c r="AL141" s="113"/>
      <c r="AR141" s="120"/>
      <c r="AS141" s="113"/>
    </row>
    <row r="142" spans="1:45" x14ac:dyDescent="0.25">
      <c r="AL142" s="113"/>
      <c r="AR142" s="120"/>
      <c r="AS142" s="113"/>
    </row>
    <row r="143" spans="1:45" x14ac:dyDescent="0.25">
      <c r="AL143" s="113"/>
      <c r="AR143" s="120"/>
      <c r="AS143" s="113"/>
    </row>
    <row r="144" spans="1:45" x14ac:dyDescent="0.25">
      <c r="AL144" s="113"/>
      <c r="AR144" s="120"/>
      <c r="AS144" s="113"/>
    </row>
    <row r="145" spans="38:45" x14ac:dyDescent="0.25">
      <c r="AL145" s="113"/>
      <c r="AR145" s="120"/>
      <c r="AS145" s="113"/>
    </row>
    <row r="146" spans="38:45" x14ac:dyDescent="0.25">
      <c r="AL146" s="113"/>
      <c r="AR146" s="120"/>
      <c r="AS146" s="113"/>
    </row>
    <row r="147" spans="38:45" x14ac:dyDescent="0.25">
      <c r="AL147" s="113"/>
      <c r="AR147" s="120"/>
      <c r="AS147" s="113"/>
    </row>
    <row r="148" spans="38:45" x14ac:dyDescent="0.25">
      <c r="AL148" s="113"/>
      <c r="AR148" s="120"/>
      <c r="AS148" s="113"/>
    </row>
    <row r="149" spans="38:45" x14ac:dyDescent="0.25">
      <c r="AL149" s="113"/>
      <c r="AR149" s="120"/>
      <c r="AS149" s="113"/>
    </row>
    <row r="150" spans="38:45" ht="15.75" thickBot="1" x14ac:dyDescent="0.3">
      <c r="AL150" s="113"/>
      <c r="AP150" s="121"/>
      <c r="AQ150" s="121"/>
      <c r="AR150" s="122"/>
      <c r="AS150" s="113"/>
    </row>
    <row r="151" spans="38:45" x14ac:dyDescent="0.25">
      <c r="AL151" s="113"/>
    </row>
  </sheetData>
  <sheetProtection sheet="1" objects="1" scenarios="1" selectLockedCells="1" selectUnlockedCells="1"/>
  <mergeCells count="1">
    <mergeCell ref="B5:H5"/>
  </mergeCells>
  <pageMargins left="0.7" right="0.7" top="0.75" bottom="0.75" header="0.3" footer="0.3"/>
  <ignoredErrors>
    <ignoredError xmlns:x16r3="http://schemas.microsoft.com/office/spreadsheetml/2018/08/main" sqref="C9" x16r3:misleadingFormat="1"/>
  </ignoredErrors>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98AA-4EDA-4A34-A128-5B610395F202}">
  <sheetPr codeName="Sheet18"/>
  <dimension ref="A1:X33"/>
  <sheetViews>
    <sheetView showGridLines="0" showRowColHeaders="0" zoomScale="170" zoomScaleNormal="170" workbookViewId="0">
      <selection activeCell="F12" sqref="F12"/>
    </sheetView>
  </sheetViews>
  <sheetFormatPr defaultColWidth="9.140625" defaultRowHeight="15" x14ac:dyDescent="0.25"/>
  <cols>
    <col min="1" max="1" width="25.7109375" customWidth="1"/>
    <col min="2" max="2" width="34.7109375" customWidth="1"/>
    <col min="3" max="3" width="62.42578125" customWidth="1"/>
    <col min="4" max="4" width="104.7109375" customWidth="1"/>
    <col min="5" max="5" width="0.42578125" customWidth="1"/>
    <col min="15" max="15" width="9.140625" hidden="1" customWidth="1"/>
    <col min="16" max="17" width="42.85546875" hidden="1" customWidth="1"/>
    <col min="18" max="19" width="37.28515625" hidden="1" customWidth="1"/>
    <col min="20" max="21" width="37.140625" hidden="1" customWidth="1"/>
    <col min="22" max="22" width="28" hidden="1" customWidth="1"/>
    <col min="23" max="24" width="9.140625" hidden="1" customWidth="1"/>
    <col min="25" max="26" width="9.140625" customWidth="1"/>
  </cols>
  <sheetData>
    <row r="1" spans="1:24" ht="2.25" customHeight="1" x14ac:dyDescent="0.25">
      <c r="A1" s="46"/>
      <c r="P1" s="5" t="s">
        <v>8</v>
      </c>
      <c r="Q1" s="5"/>
      <c r="R1" s="5" t="s">
        <v>9</v>
      </c>
      <c r="S1" s="5"/>
      <c r="T1" s="5" t="s">
        <v>10</v>
      </c>
      <c r="U1" s="5"/>
      <c r="V1" s="5" t="s">
        <v>11</v>
      </c>
    </row>
    <row r="2" spans="1:24" ht="65.099999999999994" customHeight="1" x14ac:dyDescent="0.25">
      <c r="A2" s="46"/>
      <c r="B2" s="142" t="s">
        <v>512</v>
      </c>
      <c r="P2" s="5"/>
      <c r="Q2" s="5"/>
      <c r="R2" s="5"/>
      <c r="S2" s="5"/>
      <c r="T2" s="5"/>
      <c r="U2" s="5"/>
      <c r="V2" s="5"/>
    </row>
    <row r="3" spans="1:24" ht="3" customHeight="1" x14ac:dyDescent="0.25"/>
    <row r="4" spans="1:24" ht="5.0999999999999996" customHeight="1" x14ac:dyDescent="0.25">
      <c r="A4" s="25"/>
      <c r="B4" s="47"/>
      <c r="C4" s="47"/>
      <c r="D4" s="47"/>
    </row>
    <row r="5" spans="1:24" ht="15" customHeight="1" x14ac:dyDescent="0.25">
      <c r="B5" s="259" t="s">
        <v>513</v>
      </c>
      <c r="C5" s="259"/>
      <c r="D5" s="259"/>
      <c r="P5" t="s">
        <v>14</v>
      </c>
      <c r="R5" t="s">
        <v>14</v>
      </c>
      <c r="T5" t="s">
        <v>14</v>
      </c>
      <c r="V5" t="s">
        <v>14</v>
      </c>
    </row>
    <row r="6" spans="1:24" ht="24.95" customHeight="1" x14ac:dyDescent="0.3">
      <c r="B6" s="48" t="s">
        <v>15</v>
      </c>
      <c r="P6" s="111" t="s">
        <v>16</v>
      </c>
      <c r="Q6" t="str">
        <f>LOWER(P6)</f>
        <v>competitor</v>
      </c>
      <c r="R6" s="111" t="s">
        <v>17</v>
      </c>
      <c r="S6" t="str">
        <f>LOWER(R6:R24)</f>
        <v>authentication attacks</v>
      </c>
      <c r="T6" t="s">
        <v>18</v>
      </c>
      <c r="U6" t="str">
        <f>LOWER(T6:T10)</f>
        <v>availability</v>
      </c>
      <c r="V6" s="111" t="s">
        <v>19</v>
      </c>
      <c r="W6" t="str">
        <f>LOWER(V6)</f>
        <v>the entire enterprise</v>
      </c>
      <c r="X6" t="str">
        <f>LOWER(C21)</f>
        <v>a distribution producing a curve similar to a beta distribution, which additionally takes account of the mode.</v>
      </c>
    </row>
    <row r="7" spans="1:24" ht="3" customHeight="1" x14ac:dyDescent="0.3">
      <c r="B7" s="49"/>
      <c r="C7" s="25"/>
      <c r="D7" s="49"/>
      <c r="P7" s="111" t="s">
        <v>20</v>
      </c>
      <c r="Q7" t="str">
        <f t="shared" ref="Q7:Q33" si="0">LOWER(P7)</f>
        <v>customer </v>
      </c>
      <c r="R7" s="111" t="s">
        <v>21</v>
      </c>
      <c r="S7" t="str">
        <f>LOWER(R6:R24)</f>
        <v>authorisation attacks</v>
      </c>
      <c r="T7" t="s">
        <v>22</v>
      </c>
      <c r="U7" t="str">
        <f>LOWER(T7:T10)</f>
        <v>confidentiality</v>
      </c>
      <c r="V7" s="111" t="s">
        <v>23</v>
      </c>
      <c r="W7" t="str">
        <f t="shared" ref="W7:W17" si="1">LOWER(V7)</f>
        <v>a group headquarters</v>
      </c>
    </row>
    <row r="8" spans="1:24" ht="15.75" customHeight="1" x14ac:dyDescent="0.25">
      <c r="B8" s="168" t="s">
        <v>514</v>
      </c>
      <c r="C8" s="168" t="s">
        <v>295</v>
      </c>
      <c r="D8" s="167" t="s">
        <v>515</v>
      </c>
      <c r="P8" s="111" t="s">
        <v>26</v>
      </c>
      <c r="Q8" t="str">
        <f t="shared" si="0"/>
        <v>employee (general)</v>
      </c>
      <c r="R8" s="111" t="s">
        <v>27</v>
      </c>
      <c r="S8" t="str">
        <f>LOWER(R7:R24)</f>
        <v>communications attacks</v>
      </c>
      <c r="T8" t="s">
        <v>28</v>
      </c>
      <c r="U8" t="str">
        <f>LOWER(T8:T13)</f>
        <v>confidentiality &amp; integrity</v>
      </c>
      <c r="V8" s="111" t="s">
        <v>29</v>
      </c>
      <c r="W8" t="str">
        <f t="shared" si="1"/>
        <v>a business unit</v>
      </c>
    </row>
    <row r="9" spans="1:24" ht="78.75" x14ac:dyDescent="0.25">
      <c r="B9" s="50" t="s">
        <v>516</v>
      </c>
      <c r="C9" s="147" t="s">
        <v>517</v>
      </c>
      <c r="D9" s="146" t="s">
        <v>518</v>
      </c>
      <c r="P9" s="111" t="s">
        <v>31</v>
      </c>
      <c r="Q9" t="str">
        <f t="shared" si="0"/>
        <v>employee (privileged)</v>
      </c>
      <c r="R9" s="111" t="s">
        <v>32</v>
      </c>
      <c r="S9" t="str">
        <f>LOWER(R8:R24)</f>
        <v>denial of service</v>
      </c>
      <c r="T9" t="s">
        <v>33</v>
      </c>
      <c r="U9" t="str">
        <f>LOWER(T9:T14)</f>
        <v>confidentiality &amp; availability</v>
      </c>
      <c r="V9" s="111" t="s">
        <v>34</v>
      </c>
      <c r="W9" t="str">
        <f t="shared" si="1"/>
        <v>an organisational department</v>
      </c>
    </row>
    <row r="10" spans="1:24" ht="299.25" x14ac:dyDescent="0.25">
      <c r="B10" s="52" t="s">
        <v>519</v>
      </c>
      <c r="C10" s="151" t="s">
        <v>520</v>
      </c>
      <c r="D10" s="150" t="s">
        <v>521</v>
      </c>
      <c r="P10" s="111" t="s">
        <v>36</v>
      </c>
      <c r="Q10" t="str">
        <f t="shared" si="0"/>
        <v>hacking group</v>
      </c>
      <c r="R10" s="111" t="s">
        <v>37</v>
      </c>
      <c r="S10" t="str">
        <f>LOWER(R9:R24)</f>
        <v>information leakage</v>
      </c>
      <c r="T10" t="s">
        <v>38</v>
      </c>
      <c r="U10" t="str">
        <f>LOWER(T10:T15)</f>
        <v>confidentiality, integrity &amp; availability</v>
      </c>
      <c r="V10" s="111" t="s">
        <v>39</v>
      </c>
      <c r="W10" t="str">
        <f t="shared" si="1"/>
        <v>security management</v>
      </c>
    </row>
    <row r="11" spans="1:24" ht="216.75" x14ac:dyDescent="0.25">
      <c r="B11" s="50" t="s">
        <v>522</v>
      </c>
      <c r="C11" s="147" t="s">
        <v>523</v>
      </c>
      <c r="D11" s="147" t="s">
        <v>524</v>
      </c>
      <c r="P11" s="111" t="s">
        <v>41</v>
      </c>
      <c r="Q11" t="str">
        <f t="shared" si="0"/>
        <v>individual hacker</v>
      </c>
      <c r="R11" s="111" t="s">
        <v>42</v>
      </c>
      <c r="S11" t="str">
        <f>LOWER(R10:R24)</f>
        <v>malware</v>
      </c>
      <c r="T11" t="s">
        <v>43</v>
      </c>
      <c r="U11" t="str">
        <f>LOWER(T10:T15)</f>
        <v>integrity</v>
      </c>
      <c r="V11" s="111" t="s">
        <v>44</v>
      </c>
      <c r="W11" t="str">
        <f t="shared" si="1"/>
        <v>a critical business application</v>
      </c>
    </row>
    <row r="12" spans="1:24" ht="78.75" x14ac:dyDescent="0.25">
      <c r="B12" s="52" t="s">
        <v>525</v>
      </c>
      <c r="C12" s="155" t="s">
        <v>526</v>
      </c>
      <c r="D12" s="156" t="s">
        <v>527</v>
      </c>
      <c r="P12" s="111" t="s">
        <v>46</v>
      </c>
      <c r="Q12" t="str">
        <f t="shared" si="0"/>
        <v>investigative journalist</v>
      </c>
      <c r="R12" s="111" t="s">
        <v>47</v>
      </c>
      <c r="S12" t="str">
        <f>LOWER(R11:R24)</f>
        <v>misconfiguration</v>
      </c>
      <c r="T12" t="s">
        <v>48</v>
      </c>
      <c r="U12" t="str">
        <f>LOWER(T11:T15)</f>
        <v>integrity &amp; availability</v>
      </c>
      <c r="V12" s="111" t="s">
        <v>49</v>
      </c>
      <c r="W12" t="str">
        <f t="shared" si="1"/>
        <v>a computer installation</v>
      </c>
    </row>
    <row r="13" spans="1:24" ht="126" x14ac:dyDescent="0.25">
      <c r="B13" s="50" t="s">
        <v>528</v>
      </c>
      <c r="C13" s="147" t="s">
        <v>529</v>
      </c>
      <c r="D13" s="146" t="s">
        <v>530</v>
      </c>
      <c r="P13" s="111" t="s">
        <v>50</v>
      </c>
      <c r="Q13" t="str">
        <f t="shared" si="0"/>
        <v>nation state</v>
      </c>
      <c r="R13" s="111" t="s">
        <v>51</v>
      </c>
      <c r="S13" t="str">
        <f>LOWER(R12:R24)</f>
        <v>misuse</v>
      </c>
      <c r="U13" t="str">
        <f>LOWER(T13:T23)</f>
        <v/>
      </c>
      <c r="V13" s="111" t="s">
        <v>52</v>
      </c>
      <c r="W13" t="str">
        <f t="shared" si="1"/>
        <v>a network</v>
      </c>
    </row>
    <row r="14" spans="1:24" ht="47.25" x14ac:dyDescent="0.25">
      <c r="B14" s="52" t="s">
        <v>531</v>
      </c>
      <c r="C14" s="153" t="s">
        <v>532</v>
      </c>
      <c r="D14" s="152" t="s">
        <v>533</v>
      </c>
      <c r="P14" s="111" t="s">
        <v>54</v>
      </c>
      <c r="Q14" t="str">
        <f t="shared" si="0"/>
        <v>organised criminal group</v>
      </c>
      <c r="R14" s="111" t="s">
        <v>55</v>
      </c>
      <c r="S14" t="str">
        <f>LOWER(R13:R24)</f>
        <v>physical</v>
      </c>
      <c r="U14" t="str">
        <f t="shared" ref="U14:U33" si="2">LOWER(T14:T19)</f>
        <v/>
      </c>
      <c r="V14" s="111" t="s">
        <v>56</v>
      </c>
      <c r="W14" t="str">
        <f t="shared" si="1"/>
        <v>system under development</v>
      </c>
    </row>
    <row r="15" spans="1:24" ht="299.25" x14ac:dyDescent="0.25">
      <c r="B15" s="50" t="s">
        <v>534</v>
      </c>
      <c r="C15" s="147" t="s">
        <v>535</v>
      </c>
      <c r="D15" s="147" t="s">
        <v>536</v>
      </c>
      <c r="P15" s="111" t="s">
        <v>57</v>
      </c>
      <c r="Q15" t="str">
        <f t="shared" si="0"/>
        <v>supplier/vendor/partner (external)</v>
      </c>
      <c r="R15" s="111" t="s">
        <v>58</v>
      </c>
      <c r="S15" t="str">
        <f>LOWER(R13:R24)</f>
        <v>reconnaissance/information gathering</v>
      </c>
      <c r="U15" t="str">
        <f t="shared" si="2"/>
        <v/>
      </c>
      <c r="V15" s="111" t="s">
        <v>59</v>
      </c>
      <c r="W15" t="str">
        <f t="shared" si="1"/>
        <v>an end user environment</v>
      </c>
    </row>
    <row r="16" spans="1:24" ht="210" x14ac:dyDescent="0.25">
      <c r="B16" s="52" t="s">
        <v>537</v>
      </c>
      <c r="C16" s="154" t="s">
        <v>538</v>
      </c>
      <c r="D16" s="150"/>
      <c r="P16" s="111" t="s">
        <v>61</v>
      </c>
      <c r="Q16" t="str">
        <f t="shared" si="0"/>
        <v>supplier/vendor/partner (internal)</v>
      </c>
      <c r="R16" s="111" t="s">
        <v>62</v>
      </c>
      <c r="S16" t="str">
        <f>LOWER(R13:R24)</f>
        <v>social engineering</v>
      </c>
      <c r="V16" s="111" t="s">
        <v>63</v>
      </c>
      <c r="W16" t="str">
        <f t="shared" si="1"/>
        <v>a service provider</v>
      </c>
    </row>
    <row r="17" spans="2:23" ht="78.75" x14ac:dyDescent="0.25">
      <c r="B17" s="50" t="s">
        <v>539</v>
      </c>
      <c r="C17" s="147" t="s">
        <v>540</v>
      </c>
      <c r="D17" s="147" t="s">
        <v>541</v>
      </c>
      <c r="P17" s="111" t="s">
        <v>65</v>
      </c>
      <c r="Q17" t="str">
        <f t="shared" si="0"/>
        <v>terrorist group</v>
      </c>
      <c r="R17" s="111" t="s">
        <v>66</v>
      </c>
      <c r="S17" t="str">
        <f>LOWER(R14:R24)</f>
        <v>software exploitation</v>
      </c>
      <c r="V17" s="111" t="s">
        <v>67</v>
      </c>
      <c r="W17" t="str">
        <f t="shared" si="1"/>
        <v>other</v>
      </c>
    </row>
    <row r="18" spans="2:23" ht="47.25" x14ac:dyDescent="0.25">
      <c r="B18" s="52" t="s">
        <v>542</v>
      </c>
      <c r="C18" s="151" t="s">
        <v>543</v>
      </c>
      <c r="D18" s="150" t="s">
        <v>544</v>
      </c>
      <c r="P18" s="111" t="s">
        <v>20</v>
      </c>
      <c r="Q18" t="str">
        <f t="shared" si="0"/>
        <v>customer </v>
      </c>
      <c r="R18" s="111" t="s">
        <v>69</v>
      </c>
      <c r="S18" t="str">
        <f>LOWER(R14:R24)</f>
        <v>behavioural</v>
      </c>
    </row>
    <row r="19" spans="2:23" ht="47.25" x14ac:dyDescent="0.25">
      <c r="B19" s="50" t="s">
        <v>603</v>
      </c>
      <c r="C19" s="147" t="s">
        <v>604</v>
      </c>
      <c r="D19" s="147" t="s">
        <v>605</v>
      </c>
      <c r="P19" s="111" t="s">
        <v>26</v>
      </c>
      <c r="Q19" t="str">
        <f t="shared" si="0"/>
        <v>employee (general)</v>
      </c>
      <c r="R19" s="111" t="s">
        <v>70</v>
      </c>
      <c r="S19" t="str">
        <f>LOWER(R14:R24)</f>
        <v>process failure</v>
      </c>
      <c r="U19" t="str">
        <f t="shared" si="2"/>
        <v/>
      </c>
    </row>
    <row r="20" spans="2:23" ht="78.75" x14ac:dyDescent="0.25">
      <c r="B20" s="52" t="s">
        <v>545</v>
      </c>
      <c r="C20" s="151" t="s">
        <v>546</v>
      </c>
      <c r="D20" s="150" t="s">
        <v>547</v>
      </c>
      <c r="P20" s="111" t="s">
        <v>31</v>
      </c>
      <c r="Q20" t="str">
        <f t="shared" si="0"/>
        <v>employee (privileged)</v>
      </c>
      <c r="R20" s="111" t="s">
        <v>72</v>
      </c>
      <c r="S20" t="str">
        <f>LOWER(R14:R24)</f>
        <v>technology failure</v>
      </c>
      <c r="U20" t="str">
        <f>LOWER(T20:T24)</f>
        <v/>
      </c>
    </row>
    <row r="21" spans="2:23" ht="110.25" x14ac:dyDescent="0.25">
      <c r="B21" s="50" t="s">
        <v>548</v>
      </c>
      <c r="C21" s="147" t="s">
        <v>549</v>
      </c>
      <c r="D21" s="147" t="s">
        <v>550</v>
      </c>
      <c r="P21" s="111" t="s">
        <v>57</v>
      </c>
      <c r="Q21" t="str">
        <f t="shared" si="0"/>
        <v>supplier/vendor/partner (external)</v>
      </c>
      <c r="R21" s="111" t="s">
        <v>74</v>
      </c>
      <c r="S21" t="str">
        <f>LOWER(R15:R24)</f>
        <v>biological event</v>
      </c>
      <c r="U21" t="str">
        <f>LOWER(T21:T24)</f>
        <v/>
      </c>
    </row>
    <row r="22" spans="2:23" ht="63" x14ac:dyDescent="0.25">
      <c r="B22" s="52" t="s">
        <v>551</v>
      </c>
      <c r="C22" s="151" t="s">
        <v>552</v>
      </c>
      <c r="D22" s="150" t="s">
        <v>553</v>
      </c>
      <c r="P22" s="111" t="s">
        <v>61</v>
      </c>
      <c r="Q22" t="str">
        <f t="shared" si="0"/>
        <v>supplier/vendor/partner (internal)</v>
      </c>
      <c r="R22" s="111" t="s">
        <v>76</v>
      </c>
      <c r="S22" t="str">
        <f>LOWER(R16:R24)</f>
        <v>meteorological event</v>
      </c>
      <c r="U22" t="str">
        <f>LOWER(T22:T24)</f>
        <v/>
      </c>
    </row>
    <row r="23" spans="2:23" ht="204.75" x14ac:dyDescent="0.25">
      <c r="B23" s="50" t="s">
        <v>554</v>
      </c>
      <c r="C23" s="147" t="s">
        <v>555</v>
      </c>
      <c r="D23" s="147" t="s">
        <v>556</v>
      </c>
      <c r="P23" s="111" t="s">
        <v>78</v>
      </c>
      <c r="Q23" t="str">
        <f t="shared" si="0"/>
        <v>damage to or loss of external communications</v>
      </c>
      <c r="R23" s="111" t="s">
        <v>79</v>
      </c>
      <c r="S23" t="str">
        <f>LOWER(R16:R24)</f>
        <v>geological event</v>
      </c>
      <c r="U23" t="str">
        <f>LOWER(T23:T24)</f>
        <v/>
      </c>
    </row>
    <row r="24" spans="2:23" ht="94.5" x14ac:dyDescent="0.25">
      <c r="B24" s="52" t="s">
        <v>557</v>
      </c>
      <c r="C24" s="151" t="s">
        <v>558</v>
      </c>
      <c r="D24" s="150" t="s">
        <v>559</v>
      </c>
      <c r="P24" s="111" t="s">
        <v>80</v>
      </c>
      <c r="Q24" t="str">
        <f t="shared" si="0"/>
        <v>earthquake</v>
      </c>
      <c r="R24" s="111" t="s">
        <v>81</v>
      </c>
      <c r="S24" t="str">
        <f>LOWER(R16:R24)</f>
        <v>hydrological event</v>
      </c>
      <c r="U24" t="str">
        <f>LOWER(T24:T24)</f>
        <v/>
      </c>
    </row>
    <row r="25" spans="2:23" ht="47.25" x14ac:dyDescent="0.25">
      <c r="B25" s="50" t="s">
        <v>560</v>
      </c>
      <c r="C25" s="147" t="s">
        <v>561</v>
      </c>
      <c r="D25" s="147" t="s">
        <v>562</v>
      </c>
      <c r="Q25" t="str">
        <f t="shared" si="0"/>
        <v/>
      </c>
      <c r="S25" t="str">
        <f>LOWER(R23:R44)</f>
        <v/>
      </c>
      <c r="U25" t="str">
        <f t="shared" si="2"/>
        <v/>
      </c>
    </row>
    <row r="26" spans="2:23" x14ac:dyDescent="0.25">
      <c r="B26" s="50"/>
      <c r="C26" s="148"/>
      <c r="D26" s="149"/>
      <c r="Q26" t="str">
        <f t="shared" si="0"/>
        <v/>
      </c>
      <c r="S26" t="str">
        <f>LOWER(R23:R45)</f>
        <v/>
      </c>
      <c r="U26" t="str">
        <f t="shared" si="2"/>
        <v/>
      </c>
    </row>
    <row r="27" spans="2:23" x14ac:dyDescent="0.25">
      <c r="Q27" t="str">
        <f t="shared" si="0"/>
        <v/>
      </c>
      <c r="S27" t="str">
        <f>LOWER(R24:R46)</f>
        <v/>
      </c>
      <c r="U27" t="str">
        <f t="shared" si="2"/>
        <v/>
      </c>
    </row>
    <row r="28" spans="2:23" x14ac:dyDescent="0.25">
      <c r="Q28" t="str">
        <f t="shared" si="0"/>
        <v/>
      </c>
      <c r="S28" t="str">
        <f>LOWER(R24:R47)</f>
        <v/>
      </c>
      <c r="U28" t="str">
        <f t="shared" si="2"/>
        <v/>
      </c>
    </row>
    <row r="29" spans="2:23" x14ac:dyDescent="0.25">
      <c r="Q29" t="str">
        <f t="shared" si="0"/>
        <v/>
      </c>
      <c r="S29" t="str">
        <f>LOWER(R25:R48)</f>
        <v/>
      </c>
      <c r="U29" t="str">
        <f t="shared" si="2"/>
        <v/>
      </c>
    </row>
    <row r="30" spans="2:23" x14ac:dyDescent="0.25">
      <c r="Q30" t="str">
        <f t="shared" si="0"/>
        <v/>
      </c>
      <c r="S30" t="str">
        <f>LOWER(R25:R49)</f>
        <v/>
      </c>
      <c r="U30" t="str">
        <f t="shared" si="2"/>
        <v/>
      </c>
    </row>
    <row r="31" spans="2:23" x14ac:dyDescent="0.25">
      <c r="Q31" t="str">
        <f t="shared" si="0"/>
        <v/>
      </c>
      <c r="S31" t="str">
        <f>LOWER(R25:R50)</f>
        <v/>
      </c>
      <c r="U31" t="str">
        <f t="shared" si="2"/>
        <v/>
      </c>
    </row>
    <row r="32" spans="2:23" x14ac:dyDescent="0.25">
      <c r="Q32" t="str">
        <f t="shared" si="0"/>
        <v/>
      </c>
      <c r="S32" t="str">
        <f>LOWER(R25:R51)</f>
        <v/>
      </c>
      <c r="U32" t="str">
        <f t="shared" si="2"/>
        <v/>
      </c>
    </row>
    <row r="33" spans="17:21" x14ac:dyDescent="0.25">
      <c r="Q33" t="str">
        <f t="shared" si="0"/>
        <v/>
      </c>
      <c r="S33" t="str">
        <f>LOWER(R25:R52)</f>
        <v/>
      </c>
      <c r="U33" t="str">
        <f t="shared" si="2"/>
        <v/>
      </c>
    </row>
  </sheetData>
  <sheetProtection selectLockedCells="1"/>
  <mergeCells count="1">
    <mergeCell ref="B5:D5"/>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0C320A45AAF5E42857CCE61D3CE3D56" ma:contentTypeVersion="12" ma:contentTypeDescription="Create a new document." ma:contentTypeScope="" ma:versionID="1ad54be907862beafc334c244519d672">
  <xsd:schema xmlns:xsd="http://www.w3.org/2001/XMLSchema" xmlns:xs="http://www.w3.org/2001/XMLSchema" xmlns:p="http://schemas.microsoft.com/office/2006/metadata/properties" xmlns:ns3="f4ea0d2f-ac65-4053-ae97-10c68ef72c49" xmlns:ns4="1cf814aa-5b57-4494-aac7-6ccd7e401762" targetNamespace="http://schemas.microsoft.com/office/2006/metadata/properties" ma:root="true" ma:fieldsID="ed51c6e00a702910e3fbfe2d619a9dec" ns3:_="" ns4:_="">
    <xsd:import namespace="f4ea0d2f-ac65-4053-ae97-10c68ef72c49"/>
    <xsd:import namespace="1cf814aa-5b57-4494-aac7-6ccd7e40176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4:SharedWithUsers" minOccurs="0"/>
                <xsd:element ref="ns4:SharedWithDetails" minOccurs="0"/>
                <xsd:element ref="ns4:SharingHintHash" minOccurs="0"/>
                <xsd:element ref="ns3:MediaServiceDateTaken" minOccurs="0"/>
                <xsd:element ref="ns3:MediaServiceEventHashCode" minOccurs="0"/>
                <xsd:element ref="ns3:MediaServiceGenerationTim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ea0d2f-ac65-4053-ae97-10c68ef72c49"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cf814aa-5b57-4494-aac7-6ccd7e40176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88DE738-A279-4A4A-932E-E404BECA09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ea0d2f-ac65-4053-ae97-10c68ef72c49"/>
    <ds:schemaRef ds:uri="1cf814aa-5b57-4494-aac7-6ccd7e4017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C83D25F-12EA-4CC5-8611-0E9EBF12BDC0}">
  <ds:schemaRefs>
    <ds:schemaRef ds:uri="http://schemas.microsoft.com/office/2006/documentManagement/types"/>
    <ds:schemaRef ds:uri="http://www.w3.org/XML/1998/namespace"/>
    <ds:schemaRef ds:uri="http://purl.org/dc/terms/"/>
    <ds:schemaRef ds:uri="http://purl.org/dc/elements/1.1/"/>
    <ds:schemaRef ds:uri="1cf814aa-5b57-4494-aac7-6ccd7e401762"/>
    <ds:schemaRef ds:uri="http://schemas.microsoft.com/office/infopath/2007/PartnerControls"/>
    <ds:schemaRef ds:uri="http://schemas.microsoft.com/office/2006/metadata/properties"/>
    <ds:schemaRef ds:uri="http://schemas.openxmlformats.org/package/2006/metadata/core-properties"/>
    <ds:schemaRef ds:uri="f4ea0d2f-ac65-4053-ae97-10c68ef72c49"/>
    <ds:schemaRef ds:uri="http://purl.org/dc/dcmitype/"/>
  </ds:schemaRefs>
</ds:datastoreItem>
</file>

<file path=customXml/itemProps3.xml><?xml version="1.0" encoding="utf-8"?>
<ds:datastoreItem xmlns:ds="http://schemas.openxmlformats.org/officeDocument/2006/customXml" ds:itemID="{158B4024-960E-45CE-AFC1-54620485960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2</vt:i4>
      </vt:variant>
    </vt:vector>
  </HeadingPairs>
  <TitlesOfParts>
    <vt:vector size="17" baseType="lpstr">
      <vt:lpstr>Title</vt:lpstr>
      <vt:lpstr>Warning</vt:lpstr>
      <vt:lpstr>Introduction</vt:lpstr>
      <vt:lpstr>Scope</vt:lpstr>
      <vt:lpstr>Collect</vt:lpstr>
      <vt:lpstr>Calculate</vt:lpstr>
      <vt:lpstr>Simulate</vt:lpstr>
      <vt:lpstr>Sim_Static</vt:lpstr>
      <vt:lpstr>Communicate_Data</vt:lpstr>
      <vt:lpstr>Communicate</vt:lpstr>
      <vt:lpstr>Treatment (Collection)</vt:lpstr>
      <vt:lpstr>Treatment (Summary)</vt:lpstr>
      <vt:lpstr>Treatment_Data</vt:lpstr>
      <vt:lpstr>Treatment (Results)</vt:lpstr>
      <vt:lpstr>Function List</vt:lpstr>
      <vt:lpstr>a</vt:lpstr>
      <vt:lpstr>aq</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Information Security Forum</dc:creator>
  <cp:keywords/>
  <dc:description/>
  <cp:lastModifiedBy>Afonso Nunes Faro</cp:lastModifiedBy>
  <cp:revision/>
  <dcterms:created xsi:type="dcterms:W3CDTF">2018-02-17T14:42:20Z</dcterms:created>
  <dcterms:modified xsi:type="dcterms:W3CDTF">2024-07-12T16:44:15Z</dcterms:modified>
  <cp:category/>
  <cp:contentStatus/>
  <cp:version>1.0.4</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0x010100A0C320A45AAF5E42857CCE61D3CE3D56</vt:lpwstr>
  </property>
  <property fmtid="{D5CDD505-2E9C-101B-9397-08002B2CF9AE}" pid="3" name="WorkbookGuid">
    <vt:lpwstr>4833dc5a-c734-47a5-a591-37c559bc5bf2</vt:lpwstr>
  </property>
</Properties>
</file>